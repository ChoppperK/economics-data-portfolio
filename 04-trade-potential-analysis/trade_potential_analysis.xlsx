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Trade indicators" sheetId="2" r:id="rId6"/>
    <sheet state="visible" name="Trade index" sheetId="3" r:id="rId7"/>
    <sheet state="visible" name="adjusted gdp" sheetId="4" r:id="rId8"/>
  </sheets>
  <definedNames/>
  <calcPr/>
</workbook>
</file>

<file path=xl/sharedStrings.xml><?xml version="1.0" encoding="utf-8"?>
<sst xmlns="http://schemas.openxmlformats.org/spreadsheetml/2006/main" count="826" uniqueCount="91">
  <si>
    <t>Name:</t>
  </si>
  <si>
    <t>Phuwadol Kongkham</t>
  </si>
  <si>
    <t>gdp</t>
  </si>
  <si>
    <t>ID:</t>
  </si>
  <si>
    <t>Trade performance index</t>
  </si>
  <si>
    <t>higher, higher</t>
  </si>
  <si>
    <t>Product:</t>
  </si>
  <si>
    <t>Clothing accessories, of textile fabrics</t>
  </si>
  <si>
    <t>higher, lower</t>
  </si>
  <si>
    <t>Finland</t>
  </si>
  <si>
    <t>France</t>
  </si>
  <si>
    <t xml:space="preserve">Year: </t>
  </si>
  <si>
    <t>2019-2023</t>
  </si>
  <si>
    <t>Germany</t>
  </si>
  <si>
    <t>Iceland</t>
  </si>
  <si>
    <t>Countries:</t>
  </si>
  <si>
    <t>Italy</t>
  </si>
  <si>
    <t>Spain</t>
  </si>
  <si>
    <t>Sweden</t>
  </si>
  <si>
    <t>Switzerland</t>
  </si>
  <si>
    <t>United Kingdom</t>
  </si>
  <si>
    <t>United States</t>
  </si>
  <si>
    <t>export</t>
  </si>
  <si>
    <t>import</t>
  </si>
  <si>
    <t>Trade openness index (country level)</t>
  </si>
  <si>
    <t>Export growth</t>
  </si>
  <si>
    <t>Trade competitiveness index</t>
  </si>
  <si>
    <t>Revealed comparative advantage index</t>
  </si>
  <si>
    <t>Intra-industry trade</t>
  </si>
  <si>
    <t xml:space="preserve">Export diversification </t>
  </si>
  <si>
    <t>Analysis:  In 2023, Finland's Trade Performance Index (TPI) ranking declined to 9th place from 8th in 2022, indicating challenges in its export sector. This downward trend reflects broader economic difficulties, as Finland entered a recession with a slow recovery anticipated. 
BOFBULLETIN.FI
A significant factor contributing to this decline is the decrease in Finnish exports, which began to falter at the end of 2022 and continued into 2023. Notably, export growth has been markedly weaker than the growth in Finland’s export markets for two years now. Although Finnish exports increased by slightly over 3.5% in 2022, the growth in Finland’s export markets was a little over 6%. 
BOFBULLETIN.FI
Additionally, Finland's export performance has been affected by external factors such as the war in Ukraine. In 2022, Finnish exports of goods to Russia accounted for 2.6% of total exports, down from 5.4% in 2021, reflecting a significant decrease in trade with Russia. 
ECONOMY-FINANCE.EC.EUROPA.EU
To address these challenges and improve its trade performance, Finland may need to reassess its export strategies, diversify its markets, and enhance the competitiveness of its key industries.</t>
  </si>
  <si>
    <t>Export concentration</t>
  </si>
  <si>
    <t>Economy</t>
  </si>
  <si>
    <t>OPEN</t>
  </si>
  <si>
    <t>EXPGW</t>
  </si>
  <si>
    <t>TC</t>
  </si>
  <si>
    <t>RCA</t>
  </si>
  <si>
    <t>IIT</t>
  </si>
  <si>
    <t>Top 3 Trade Performance index in 2023</t>
  </si>
  <si>
    <t>DIVER</t>
  </si>
  <si>
    <t>In 2023, the top three countries in the Trade Performance Index (TPI) were Italy, Germany, and France, maintaining their strong positions in global trade.</t>
  </si>
  <si>
    <t>Italy continued to lead the TPI rankings, holding the 1st position consistently from 2019 through 2023. This sustained top ranking underscores Italy's robust export performance and competitive advantage in international markets.</t>
  </si>
  <si>
    <t>Germany maintained its 3rd position in 2023, reflecting its enduring strength in global trade. Germany's consistent performance highlights its well-established industrial base and export capabilities.</t>
  </si>
  <si>
    <t>France secured the 2nd position in 2023, improving from its 4th place ranking in 2020. This upward movement indicates France's enhanced trade performance and competitiveness in recent years.</t>
  </si>
  <si>
    <t>These rankings illustrate the sustained trade competitiveness of these European economies, driven by their diversified export portfolios and strong industrial sectors.</t>
  </si>
  <si>
    <t>compound growth rate</t>
  </si>
  <si>
    <t>ranking (2023)</t>
  </si>
  <si>
    <t>Sum</t>
  </si>
  <si>
    <t>min</t>
  </si>
  <si>
    <t>max</t>
  </si>
  <si>
    <t xml:space="preserve">Step 1: To eliminate the differences in the units of the indicators, the data are standardized.
</t>
  </si>
  <si>
    <t>World</t>
  </si>
  <si>
    <t>TOTAL ALL PRODUCTS</t>
  </si>
  <si>
    <t>explain that a higher index indicates a more open economy, heavily depend on international trade.</t>
  </si>
  <si>
    <t>explain that export growth refers to the change in a country's exports over a specific period.</t>
  </si>
  <si>
    <t>explain that the TCI measures a country's ability to participate in and benefit from international trade. It is a basic measure of world market power.</t>
  </si>
  <si>
    <t>explain that it measures a country's comparative advantage in exporting specific goods or services compared to the world average (in terms of labor costs and skills, resource endowments, technology and innovation etc).</t>
  </si>
  <si>
    <t>explain that countries both import and export similar products within the same industry or the level of IIT between two countries for a specific product (economies of scale and scope, product differentiation).</t>
  </si>
  <si>
    <t>explain how reliant a country's trade is on a limited number of partners or products. Higher values indicate greater concentration, while lower values signify more diversification.</t>
  </si>
  <si>
    <t>explain how a country's reliance on a diverse range of products and trading partners. Higher values indicate better diversification, while lower values indicate greater concentration.</t>
  </si>
  <si>
    <t>Explain:</t>
  </si>
  <si>
    <t>Explain: The Trade Openness Index shows how much a country's economy depends on international trade. A higher index means the country trades more with other nations, relying heavily on exports and imports.
For example, Sweden (8.85) and France (7.11) have high scores in 2023, meaning they are very open to trade. In contrast, the UK (1.90) and Switzerland (3.93) trade less compared to their overall economy.
Countries like Iceland and Germany have increased their trade openness, while Switzerland and the UK have become less dependent on trade. The world average (4.25) suggests a moderate level of trade openness globally.</t>
  </si>
  <si>
    <t>Explain:The Trade Competitiveness Index (TCI) measures how well a country competes in global trade and benefits from international markets. A higher TCI means a country has a strong position in global trade, selling more goods and services to the world. It reflects market power and the ability to attract demand for exports.
For example, Italy (7.578) and Germany (4.096) have high TCI scores in 2023, showing strong global trade positions. France (4.004) has also grown in competitiveness, while the UK (0.947) and the US (1.504) have seen declines, meaning they are less competitive than before. Iceland (0.001) has the lowest score, indicating minimal global trade influence.</t>
  </si>
  <si>
    <t>Explain:The Revealed Comparative Advantage (RCA) Index measures how competitive a country is in exporting specific goods or services compared to the world average. A higher RCA means the country has a stronger advantage in certain industries due to factors like lower labor costs, skilled workers, natural resources, advanced technology, or innovation.
For example, if a country has a high RCA in a particular sector, it means it specializes in producing and exporting those goods more efficiently than other countries. This can be due to access to cheap raw materials, a well-developed workforce, or advanced manufacturing techniques. A lower RCA suggests the country does not have a strong competitive edge in that sector and relies more on imports.</t>
  </si>
  <si>
    <t>Explain:Intra-Industry Trade (IIT) refers to a situation where countries both import and export similar goods within the same industry. This happens because of factors like economies of scale, where producing in larger quantities lowers costs, and product differentiation, where consumers demand variety in similar products, such as different car models or types of electronics.
A higher IIT index means a country is actively trading similar products with others, showing strong industry integration in global markets. For example, European countries like France (0.884) and Sweden (0.798) have high IIT values, indicating they export and import similar goods within industries like automobiles or machinery. In contrast, the United States (0.195) and Iceland (0.040) have low IIT values, meaning they engage less in this type of trade, either due to specialization or reliance on different industries.</t>
  </si>
  <si>
    <t>Explain:Export Diversification measures how dependent a country's trade is on a small number of products or trading partners. A higher value means the country’s exports are more concentrated, relying on fewer products or markets, which can make it more vulnerable to economic shocks. A lower value indicates more diversification, meaning the country exports a wider variety of goods to different markets, reducing risk.
For example, Iceland (0.783) and Switzerland (0.674) have high values, meaning their exports are more concentrated in specific industries or markets. In contrast, the United States (0.219) and Germany (0.325) have lower values, showing they export a broader range of goods across multiple markets, making their economies more resilient to trade disruptions. The UK (0.372) has seen an increase, indicating its exports have become more concentrated over time.</t>
  </si>
  <si>
    <t>Explain:The Export Concentration Index measures how much a country's exports are dominated by a few products or trading partners. A higher index value indicates greater concentration, meaning the country relies heavily on a limited range of exports or markets. Conversely, a lower index value signifies more diversification, with exports spread across a wider array of products and destinations. For instance, in 2023, Iceland had an index of 0.432, suggesting a higher concentration in its exports, while France had an index of 0.070, indicating a more diversified export portfolio.</t>
  </si>
  <si>
    <t>export concentration</t>
  </si>
  <si>
    <t>export diversification</t>
  </si>
  <si>
    <t>Australia</t>
  </si>
  <si>
    <t>Belgium</t>
  </si>
  <si>
    <t>Brazil</t>
  </si>
  <si>
    <t>Chile</t>
  </si>
  <si>
    <t>China</t>
  </si>
  <si>
    <t>Denmark</t>
  </si>
  <si>
    <t>India</t>
  </si>
  <si>
    <t>Indonesia</t>
  </si>
  <si>
    <t>Step 2: Compute entropy (Shanon, 1948)</t>
  </si>
  <si>
    <t xml:space="preserve">Step 2.1 To calculate the proportion of j-th index value of the i-th country.
</t>
  </si>
  <si>
    <t>Step 2.2 To calculate the information entropy of the j-th index.</t>
  </si>
  <si>
    <t>k = 1/ln(m); m=10 countries</t>
  </si>
  <si>
    <t>ej</t>
  </si>
  <si>
    <t>Step 2.3: To calculate information entropy redundancy</t>
  </si>
  <si>
    <t>sum</t>
  </si>
  <si>
    <t>dj=1-ej</t>
  </si>
  <si>
    <t>Step 3: To calculate index weight.</t>
  </si>
  <si>
    <t>wj</t>
  </si>
  <si>
    <t>Step 4: To construct the index</t>
  </si>
  <si>
    <t>Trade potential index</t>
  </si>
  <si>
    <t>TPI</t>
  </si>
  <si>
    <t>rank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</si>
</sst>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_(* #,##0.00_);_(* \(#,##0.00\);_(* &quot;-&quot;??_);_(@_)"/>
    <numFmt numFmtId="165" formatCode="_(* #,##0.000_);_(* \(#,##0.000\);_(* &quot;-&quot;??_);_(@_)"/>
    <numFmt numFmtId="166" formatCode="0.000"/>
    <numFmt numFmtId="167" formatCode="0.0%"/>
  </numFmts>
  <fonts count="13">
    <font>
      <sz val="11.0"/>
      <color theme="1"/>
      <name val="Tahoma"/>
      <scheme val="minor"/>
    </font>
    <font>
      <color theme="1"/>
      <name val="Tahoma"/>
      <scheme val="minor"/>
    </font>
    <font>
      <sz val="11.0"/>
      <color theme="1"/>
      <name val="Tahoma"/>
    </font>
    <font>
      <sz val="8.0"/>
      <color theme="1"/>
      <name val="Tahoma"/>
    </font>
    <font>
      <sz val="8.0"/>
      <color rgb="FFFF0000"/>
      <name val="Tahoma"/>
    </font>
    <font>
      <sz val="11.0"/>
      <color rgb="FF000000"/>
      <name val="&quot;Aptos Narrow&quot;"/>
    </font>
    <font>
      <sz val="10.0"/>
      <color theme="1"/>
      <name val="Tahoma"/>
    </font>
    <font>
      <sz val="11.0"/>
      <color rgb="FF000000"/>
      <name val="Arial"/>
    </font>
    <font>
      <sz val="10.0"/>
      <color rgb="FFFF0000"/>
      <name val="Tahoma"/>
    </font>
    <font>
      <sz val="11.0"/>
      <color theme="1"/>
      <name val="Aptos Narrow"/>
    </font>
    <font>
      <sz val="11.0"/>
      <color rgb="FF0000CC"/>
      <name val="Tahoma"/>
    </font>
    <font>
      <sz val="11.0"/>
      <color rgb="FFFF0000"/>
      <name val="Tahoma"/>
    </font>
    <font>
      <sz val="11.0"/>
      <color rgb="FF000000"/>
      <name val="Tahoma"/>
    </font>
  </fonts>
  <fills count="4">
    <fill>
      <patternFill patternType="none"/>
    </fill>
    <fill>
      <patternFill patternType="lightGray"/>
    </fill>
    <fill>
      <patternFill patternType="solid">
        <fgColor rgb="FFFFFF00"/>
        <bgColor rgb="FFFFFF00"/>
      </patternFill>
    </fill>
    <fill>
      <patternFill patternType="solid">
        <fgColor rgb="FFF7CAAC"/>
        <bgColor rgb="FFF7CAAC"/>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1" fillId="2" fontId="2" numFmtId="0" xfId="0" applyBorder="1" applyFill="1" applyFont="1"/>
    <xf borderId="0" fillId="0" fontId="2" numFmtId="0" xfId="0" applyAlignment="1" applyFont="1">
      <alignment horizontal="center"/>
    </xf>
    <xf borderId="2" fillId="2" fontId="2" numFmtId="0" xfId="0" applyAlignment="1" applyBorder="1" applyFill="1" applyFont="1">
      <alignment horizontal="center" vertical="center"/>
    </xf>
    <xf borderId="0" fillId="0" fontId="3" numFmtId="0" xfId="0" applyAlignment="1" applyFont="1">
      <alignment horizontal="center"/>
    </xf>
    <xf borderId="0" fillId="0" fontId="4" numFmtId="0" xfId="0" applyAlignment="1" applyFont="1">
      <alignment horizontal="center"/>
    </xf>
    <xf borderId="0" fillId="0" fontId="5" numFmtId="0" xfId="0" applyAlignment="1" applyFont="1">
      <alignment horizontal="left" readingOrder="0" shrinkToFit="0" vertical="bottom" wrapText="0"/>
    </xf>
    <xf borderId="0" fillId="0" fontId="6" numFmtId="0" xfId="0" applyAlignment="1" applyFont="1">
      <alignment horizontal="center"/>
    </xf>
    <xf borderId="0" fillId="0" fontId="2" numFmtId="1" xfId="0" applyAlignment="1" applyFont="1" applyNumberFormat="1">
      <alignment horizontal="center"/>
    </xf>
    <xf borderId="0" fillId="0" fontId="7" numFmtId="11" xfId="0" applyAlignment="1" applyFont="1" applyNumberFormat="1">
      <alignment horizontal="right" readingOrder="0" shrinkToFit="0" vertical="bottom" wrapText="0"/>
    </xf>
    <xf borderId="0" fillId="0" fontId="5" numFmtId="11" xfId="0" applyAlignment="1" applyFont="1" applyNumberFormat="1">
      <alignment horizontal="right" readingOrder="0" shrinkToFit="0" vertical="bottom" wrapText="0"/>
    </xf>
    <xf borderId="0" fillId="0" fontId="1" numFmtId="11" xfId="0" applyFont="1" applyNumberFormat="1"/>
    <xf borderId="1" fillId="2" fontId="2" numFmtId="0" xfId="0" applyAlignment="1" applyBorder="1" applyFill="1" applyFont="1">
      <alignment readingOrder="0"/>
    </xf>
    <xf borderId="0" fillId="0" fontId="2" numFmtId="0" xfId="0" applyAlignment="1" applyFont="1">
      <alignment horizontal="left" readingOrder="0" vertical="top"/>
    </xf>
    <xf borderId="0" fillId="0" fontId="8" numFmtId="0" xfId="0" applyAlignment="1" applyFont="1">
      <alignment horizontal="center"/>
    </xf>
    <xf borderId="0" fillId="0" fontId="5" numFmtId="0" xfId="0" applyAlignment="1" applyFont="1">
      <alignment horizontal="right" readingOrder="0" shrinkToFit="0" vertical="bottom" wrapText="0"/>
    </xf>
    <xf borderId="0" fillId="0" fontId="7" numFmtId="0" xfId="0" applyAlignment="1" applyFont="1">
      <alignment horizontal="right" readingOrder="0" shrinkToFit="0" vertical="bottom" wrapText="0"/>
    </xf>
    <xf borderId="0" fillId="0" fontId="2" numFmtId="164" xfId="0" applyFont="1" applyNumberFormat="1"/>
    <xf borderId="0" fillId="0" fontId="6" numFmtId="10" xfId="0" applyAlignment="1" applyFont="1" applyNumberFormat="1">
      <alignment horizontal="center"/>
    </xf>
    <xf borderId="0" fillId="0" fontId="6" numFmtId="165" xfId="0" applyAlignment="1" applyFont="1" applyNumberFormat="1">
      <alignment horizontal="center"/>
    </xf>
    <xf borderId="0" fillId="0" fontId="8" numFmtId="165" xfId="0" applyAlignment="1" applyFont="1" applyNumberFormat="1">
      <alignment horizontal="center"/>
    </xf>
    <xf borderId="0" fillId="0" fontId="6" numFmtId="164" xfId="0" applyAlignment="1" applyFont="1" applyNumberFormat="1">
      <alignment horizontal="center"/>
    </xf>
    <xf borderId="0" fillId="0" fontId="8" numFmtId="166" xfId="0" applyAlignment="1" applyFont="1" applyNumberFormat="1">
      <alignment horizontal="center"/>
    </xf>
    <xf borderId="0" fillId="0" fontId="2" numFmtId="165" xfId="0" applyFont="1" applyNumberFormat="1"/>
    <xf borderId="0" fillId="0" fontId="2" numFmtId="167" xfId="0" applyAlignment="1" applyFont="1" applyNumberFormat="1">
      <alignment horizontal="center"/>
    </xf>
    <xf borderId="0" fillId="0" fontId="2" numFmtId="10" xfId="0" applyFont="1" applyNumberFormat="1"/>
    <xf borderId="0" fillId="0" fontId="2" numFmtId="10" xfId="0" applyAlignment="1" applyFont="1" applyNumberFormat="1">
      <alignment horizontal="center"/>
    </xf>
    <xf borderId="0" fillId="0" fontId="9" numFmtId="0" xfId="0" applyAlignment="1" applyFont="1">
      <alignment vertical="bottom"/>
    </xf>
    <xf borderId="0" fillId="0" fontId="2" numFmtId="166" xfId="0" applyFont="1" applyNumberFormat="1"/>
    <xf borderId="0" fillId="0" fontId="2" numFmtId="2" xfId="0" applyFont="1" applyNumberFormat="1"/>
    <xf borderId="1" fillId="3" fontId="2" numFmtId="1" xfId="0" applyAlignment="1" applyBorder="1" applyFill="1" applyFont="1" applyNumberFormat="1">
      <alignment horizontal="center"/>
    </xf>
    <xf borderId="0" fillId="0" fontId="10" numFmtId="0" xfId="0" applyFont="1"/>
    <xf borderId="0" fillId="0" fontId="11" numFmtId="2" xfId="0" applyFont="1" applyNumberFormat="1"/>
    <xf borderId="0" fillId="0" fontId="10" numFmtId="167" xfId="0" applyAlignment="1" applyFont="1" applyNumberFormat="1">
      <alignment horizontal="center"/>
    </xf>
    <xf borderId="1" fillId="2" fontId="10" numFmtId="0" xfId="0" applyBorder="1" applyFill="1" applyFont="1"/>
    <xf borderId="0" fillId="0" fontId="10" numFmtId="10" xfId="0" applyFont="1" applyNumberFormat="1"/>
    <xf borderId="0" fillId="0" fontId="10" numFmtId="10" xfId="0" applyAlignment="1" applyFont="1" applyNumberFormat="1">
      <alignment horizontal="center"/>
    </xf>
    <xf borderId="0" fillId="0" fontId="10" numFmtId="165" xfId="0" applyFont="1" applyNumberFormat="1"/>
    <xf borderId="0" fillId="0" fontId="10" numFmtId="166" xfId="0" applyFont="1" applyNumberFormat="1"/>
    <xf borderId="0" fillId="0" fontId="10" numFmtId="0" xfId="0" applyAlignment="1" applyFont="1">
      <alignment horizontal="center"/>
    </xf>
    <xf borderId="0" fillId="0" fontId="10" numFmtId="0" xfId="0" applyAlignment="1" applyFont="1">
      <alignment horizontal="left" shrinkToFit="0" vertical="top" wrapText="1"/>
    </xf>
    <xf borderId="0" fillId="0" fontId="12" numFmtId="0" xfId="0" applyAlignment="1" applyFont="1">
      <alignment horizontal="left" readingOrder="0" shrinkToFit="0" vertical="top" wrapText="1"/>
    </xf>
    <xf borderId="1" fillId="2" fontId="2" numFmtId="2" xfId="0" applyBorder="1" applyFill="1" applyFont="1" applyNumberFormat="1"/>
    <xf borderId="0" fillId="0" fontId="10" numFmtId="2" xfId="0" applyFont="1" applyNumberFormat="1"/>
    <xf borderId="2" fillId="2" fontId="2" numFmtId="2" xfId="0" applyBorder="1" applyFill="1" applyFont="1" applyNumberFormat="1"/>
    <xf borderId="2" fillId="0" fontId="2" numFmtId="2" xfId="0" applyAlignment="1" applyBorder="1" applyFont="1" applyNumberFormat="1">
      <alignment horizontal="center"/>
    </xf>
    <xf borderId="2" fillId="0" fontId="2" numFmtId="2" xfId="0" applyBorder="1" applyFont="1" applyNumberFormat="1"/>
    <xf borderId="2" fillId="2" fontId="2" numFmtId="166" xfId="0" applyBorder="1" applyFill="1" applyFont="1" applyNumberFormat="1"/>
    <xf borderId="0" fillId="0" fontId="11" numFmtId="0" xfId="0" applyFont="1"/>
    <xf borderId="2" fillId="2" fontId="2" numFmtId="0" xfId="0" applyBorder="1" applyFill="1" applyFont="1"/>
    <xf borderId="2" fillId="2" fontId="2" numFmtId="2" xfId="0" applyAlignment="1" applyBorder="1" applyFill="1" applyFont="1" applyNumberFormat="1">
      <alignment horizontal="center"/>
    </xf>
    <xf borderId="0" fillId="0" fontId="2" numFmtId="2" xfId="0" applyAlignment="1" applyFont="1" applyNumberFormat="1">
      <alignment horizontal="center"/>
    </xf>
    <xf borderId="1" fillId="2" fontId="2" numFmtId="166" xfId="0" applyBorder="1" applyFill="1" applyFont="1" applyNumberFormat="1"/>
    <xf borderId="1" fillId="2" fontId="2" numFmtId="1" xfId="0" applyAlignment="1" applyBorder="1" applyFill="1" applyFont="1" applyNumberFormat="1">
      <alignment horizontal="center"/>
    </xf>
  </cellXfs>
  <cellStyles count="1">
    <cellStyle xfId="0" name="Normal" builtinId="0"/>
  </cellStyles>
  <dxfs count="2">
    <dxf>
      <font>
        <color rgb="FF9C0006"/>
      </font>
      <fill>
        <patternFill patternType="solid">
          <fgColor rgb="FFFFC7CE"/>
          <bgColor rgb="FFFFC7CE"/>
        </patternFill>
      </fill>
      <border/>
    </dxf>
    <dxf>
      <font>
        <color rgb="FF9C57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9.png"/><Relationship Id="rId3" Type="http://schemas.openxmlformats.org/officeDocument/2006/relationships/image" Target="../media/image7.png"/><Relationship Id="rId4" Type="http://schemas.openxmlformats.org/officeDocument/2006/relationships/image" Target="../media/image5.png"/><Relationship Id="rId5" Type="http://schemas.openxmlformats.org/officeDocument/2006/relationships/image" Target="../media/image14.png"/><Relationship Id="rId6" Type="http://schemas.openxmlformats.org/officeDocument/2006/relationships/image" Target="../media/image2.png"/><Relationship Id="rId7" Type="http://schemas.openxmlformats.org/officeDocument/2006/relationships/image" Target="../media/image1.png"/><Relationship Id="rId8" Type="http://schemas.openxmlformats.org/officeDocument/2006/relationships/image" Target="../media/image15.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3.png"/><Relationship Id="rId3" Type="http://schemas.openxmlformats.org/officeDocument/2006/relationships/image" Target="../media/image8.png"/><Relationship Id="rId4" Type="http://schemas.openxmlformats.org/officeDocument/2006/relationships/image" Target="../media/image4.png"/><Relationship Id="rId5" Type="http://schemas.openxmlformats.org/officeDocument/2006/relationships/image" Target="../media/image11.png"/><Relationship Id="rId6" Type="http://schemas.openxmlformats.org/officeDocument/2006/relationships/image" Target="../media/image3.png"/><Relationship Id="rId7"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1</xdr:row>
      <xdr:rowOff>47625</xdr:rowOff>
    </xdr:from>
    <xdr:ext cx="2447925" cy="504825"/>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24</xdr:col>
      <xdr:colOff>304800</xdr:colOff>
      <xdr:row>1</xdr:row>
      <xdr:rowOff>0</xdr:rowOff>
    </xdr:from>
    <xdr:ext cx="3286125" cy="657225"/>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29</xdr:col>
      <xdr:colOff>142875</xdr:colOff>
      <xdr:row>1</xdr:row>
      <xdr:rowOff>47625</xdr:rowOff>
    </xdr:from>
    <xdr:ext cx="2952750" cy="514350"/>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38</xdr:col>
      <xdr:colOff>66675</xdr:colOff>
      <xdr:row>0</xdr:row>
      <xdr:rowOff>133350</xdr:rowOff>
    </xdr:from>
    <xdr:ext cx="6296025" cy="74295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47</xdr:col>
      <xdr:colOff>9525</xdr:colOff>
      <xdr:row>0</xdr:row>
      <xdr:rowOff>0</xdr:rowOff>
    </xdr:from>
    <xdr:ext cx="7019925" cy="904875"/>
    <xdr:pic>
      <xdr:nvPicPr>
        <xdr:cNvPr id="0" name="image14.png"/>
        <xdr:cNvPicPr preferRelativeResize="0"/>
      </xdr:nvPicPr>
      <xdr:blipFill>
        <a:blip cstate="print" r:embed="rId5"/>
        <a:stretch>
          <a:fillRect/>
        </a:stretch>
      </xdr:blipFill>
      <xdr:spPr>
        <a:prstGeom prst="rect">
          <a:avLst/>
        </a:prstGeom>
        <a:noFill/>
      </xdr:spPr>
    </xdr:pic>
    <xdr:clientData fLocksWithSheet="0"/>
  </xdr:oneCellAnchor>
  <xdr:oneCellAnchor>
    <xdr:from>
      <xdr:col>56</xdr:col>
      <xdr:colOff>352425</xdr:colOff>
      <xdr:row>1</xdr:row>
      <xdr:rowOff>133350</xdr:rowOff>
    </xdr:from>
    <xdr:ext cx="1905000" cy="514350"/>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63</xdr:col>
      <xdr:colOff>0</xdr:colOff>
      <xdr:row>0</xdr:row>
      <xdr:rowOff>76200</xdr:rowOff>
    </xdr:from>
    <xdr:ext cx="6000750" cy="79057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71</xdr:col>
      <xdr:colOff>0</xdr:colOff>
      <xdr:row>0</xdr:row>
      <xdr:rowOff>9525</xdr:rowOff>
    </xdr:from>
    <xdr:ext cx="6867525" cy="847725"/>
    <xdr:pic>
      <xdr:nvPicPr>
        <xdr:cNvPr id="0" name="image15.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xdr:row>
      <xdr:rowOff>152400</xdr:rowOff>
    </xdr:from>
    <xdr:ext cx="1647825" cy="68580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85725</xdr:colOff>
      <xdr:row>28</xdr:row>
      <xdr:rowOff>28575</xdr:rowOff>
    </xdr:from>
    <xdr:ext cx="2667000" cy="1524000"/>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133350</xdr:colOff>
      <xdr:row>53</xdr:row>
      <xdr:rowOff>85725</xdr:rowOff>
    </xdr:from>
    <xdr:ext cx="1181100" cy="485775"/>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66675</xdr:colOff>
      <xdr:row>79</xdr:row>
      <xdr:rowOff>76200</xdr:rowOff>
    </xdr:from>
    <xdr:ext cx="1905000" cy="90487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85725</xdr:colOff>
      <xdr:row>108</xdr:row>
      <xdr:rowOff>152400</xdr:rowOff>
    </xdr:from>
    <xdr:ext cx="1000125" cy="314325"/>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47625</xdr:colOff>
      <xdr:row>111</xdr:row>
      <xdr:rowOff>171450</xdr:rowOff>
    </xdr:from>
    <xdr:ext cx="2276475" cy="447675"/>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76200</xdr:colOff>
      <xdr:row>115</xdr:row>
      <xdr:rowOff>133350</xdr:rowOff>
    </xdr:from>
    <xdr:ext cx="1924050" cy="56197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Tahoma"/>
        <a:ea typeface="Tahoma"/>
        <a:cs typeface="Tahoma"/>
      </a:majorFont>
      <a:minorFont>
        <a:latin typeface="Tahoma"/>
        <a:ea typeface="Tahoma"/>
        <a:cs typeface="Taho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38"/>
    <col customWidth="1" min="2" max="2" width="42.25"/>
    <col customWidth="1" min="3" max="3" width="8.88"/>
    <col customWidth="1" min="4" max="4" width="8.63"/>
    <col customWidth="1" min="5" max="5" width="24.0"/>
    <col customWidth="1" min="6" max="26" width="8.63"/>
  </cols>
  <sheetData>
    <row r="1" ht="14.25" customHeight="1">
      <c r="A1" s="1" t="s">
        <v>0</v>
      </c>
      <c r="B1" s="2" t="s">
        <v>1</v>
      </c>
      <c r="C1" s="3"/>
    </row>
    <row r="2" ht="14.25" customHeight="1">
      <c r="A2" s="1" t="s">
        <v>3</v>
      </c>
      <c r="B2" s="2">
        <v>6.631202026E9</v>
      </c>
      <c r="C2" s="3"/>
    </row>
    <row r="3" ht="14.25" customHeight="1">
      <c r="C3" s="3"/>
      <c r="E3" s="1" t="s">
        <v>4</v>
      </c>
      <c r="F3" s="4">
        <v>2019.0</v>
      </c>
      <c r="G3" s="4">
        <f t="shared" ref="G3:J3" si="1">+F3+1</f>
        <v>2020</v>
      </c>
      <c r="H3" s="4">
        <f t="shared" si="1"/>
        <v>2021</v>
      </c>
      <c r="I3" s="4">
        <f t="shared" si="1"/>
        <v>2022</v>
      </c>
      <c r="J3" s="4">
        <f t="shared" si="1"/>
        <v>2023</v>
      </c>
    </row>
    <row r="4" ht="14.25" customHeight="1">
      <c r="A4" s="1" t="s">
        <v>6</v>
      </c>
      <c r="B4" s="2" t="s">
        <v>7</v>
      </c>
      <c r="C4" s="3"/>
      <c r="E4" s="8" t="s">
        <v>9</v>
      </c>
      <c r="F4" s="10">
        <v>8.0</v>
      </c>
      <c r="G4" s="10">
        <v>10.0</v>
      </c>
      <c r="H4" s="10">
        <v>8.0</v>
      </c>
      <c r="I4" s="10">
        <v>8.0</v>
      </c>
      <c r="J4" s="10">
        <v>9.0</v>
      </c>
    </row>
    <row r="5" ht="14.25" customHeight="1">
      <c r="C5" s="3"/>
      <c r="E5" s="8" t="s">
        <v>10</v>
      </c>
      <c r="F5" s="10">
        <v>3.0</v>
      </c>
      <c r="G5" s="10">
        <v>4.0</v>
      </c>
      <c r="H5" s="10">
        <v>3.0</v>
      </c>
      <c r="I5" s="10">
        <v>2.0</v>
      </c>
      <c r="J5" s="10">
        <v>2.0</v>
      </c>
    </row>
    <row r="6" ht="14.25" customHeight="1">
      <c r="A6" s="1" t="s">
        <v>11</v>
      </c>
      <c r="B6" s="1" t="s">
        <v>12</v>
      </c>
      <c r="C6" s="3"/>
      <c r="E6" s="8" t="s">
        <v>13</v>
      </c>
      <c r="F6" s="10">
        <v>2.0</v>
      </c>
      <c r="G6" s="10">
        <v>2.0</v>
      </c>
      <c r="H6" s="10">
        <v>2.0</v>
      </c>
      <c r="I6" s="10">
        <v>3.0</v>
      </c>
      <c r="J6" s="10">
        <v>3.0</v>
      </c>
    </row>
    <row r="7" ht="14.25" customHeight="1">
      <c r="C7" s="3"/>
      <c r="E7" s="8" t="s">
        <v>14</v>
      </c>
      <c r="F7" s="10">
        <v>10.0</v>
      </c>
      <c r="G7" s="10">
        <v>9.0</v>
      </c>
      <c r="H7" s="10">
        <v>10.0</v>
      </c>
      <c r="I7" s="10">
        <v>10.0</v>
      </c>
      <c r="J7" s="10">
        <v>10.0</v>
      </c>
    </row>
    <row r="8" ht="14.25" customHeight="1">
      <c r="A8" s="1" t="s">
        <v>15</v>
      </c>
      <c r="B8" s="8" t="s">
        <v>9</v>
      </c>
      <c r="C8" s="3"/>
      <c r="E8" s="8" t="s">
        <v>16</v>
      </c>
      <c r="F8" s="10">
        <v>1.0</v>
      </c>
      <c r="G8" s="10">
        <v>1.0</v>
      </c>
      <c r="H8" s="10">
        <v>1.0</v>
      </c>
      <c r="I8" s="10">
        <v>1.0</v>
      </c>
      <c r="J8" s="10">
        <v>1.0</v>
      </c>
    </row>
    <row r="9" ht="14.25" customHeight="1">
      <c r="B9" s="8" t="s">
        <v>10</v>
      </c>
      <c r="C9" s="3"/>
      <c r="E9" s="8" t="s">
        <v>17</v>
      </c>
      <c r="F9" s="10">
        <v>5.0</v>
      </c>
      <c r="G9" s="10">
        <v>5.0</v>
      </c>
      <c r="H9" s="10">
        <v>4.0</v>
      </c>
      <c r="I9" s="10">
        <v>5.0</v>
      </c>
      <c r="J9" s="10">
        <v>4.0</v>
      </c>
    </row>
    <row r="10" ht="14.25" customHeight="1">
      <c r="B10" s="8" t="s">
        <v>13</v>
      </c>
      <c r="C10" s="3"/>
      <c r="E10" s="8" t="s">
        <v>18</v>
      </c>
      <c r="F10" s="10">
        <v>4.0</v>
      </c>
      <c r="G10" s="10">
        <v>3.0</v>
      </c>
      <c r="H10" s="10">
        <v>5.0</v>
      </c>
      <c r="I10" s="10">
        <v>4.0</v>
      </c>
      <c r="J10" s="10">
        <v>5.0</v>
      </c>
    </row>
    <row r="11" ht="14.25" customHeight="1">
      <c r="B11" s="8" t="s">
        <v>14</v>
      </c>
      <c r="C11" s="3"/>
      <c r="E11" s="8" t="s">
        <v>19</v>
      </c>
      <c r="F11" s="10">
        <v>7.0</v>
      </c>
      <c r="G11" s="10">
        <v>7.0</v>
      </c>
      <c r="H11" s="10">
        <v>7.0</v>
      </c>
      <c r="I11" s="10">
        <v>7.0</v>
      </c>
      <c r="J11" s="10">
        <v>6.0</v>
      </c>
    </row>
    <row r="12" ht="14.25" customHeight="1">
      <c r="B12" s="8" t="s">
        <v>16</v>
      </c>
      <c r="C12" s="3"/>
      <c r="E12" s="8" t="s">
        <v>20</v>
      </c>
      <c r="F12" s="10">
        <v>6.0</v>
      </c>
      <c r="G12" s="10">
        <v>6.0</v>
      </c>
      <c r="H12" s="10">
        <v>9.0</v>
      </c>
      <c r="I12" s="10">
        <v>6.0</v>
      </c>
      <c r="J12" s="10">
        <v>7.0</v>
      </c>
    </row>
    <row r="13" ht="14.25" customHeight="1">
      <c r="B13" s="8" t="s">
        <v>17</v>
      </c>
      <c r="C13" s="3"/>
      <c r="E13" s="8" t="s">
        <v>21</v>
      </c>
      <c r="F13" s="10">
        <v>9.0</v>
      </c>
      <c r="G13" s="10">
        <v>8.0</v>
      </c>
      <c r="H13" s="10">
        <v>6.0</v>
      </c>
      <c r="I13" s="10">
        <v>9.0</v>
      </c>
      <c r="J13" s="10">
        <v>8.0</v>
      </c>
    </row>
    <row r="14" ht="14.25" customHeight="1">
      <c r="B14" s="8" t="s">
        <v>18</v>
      </c>
      <c r="C14" s="3"/>
      <c r="F14" s="4"/>
      <c r="G14" s="4"/>
      <c r="H14" s="4"/>
      <c r="I14" s="10"/>
      <c r="J14" s="10"/>
    </row>
    <row r="15" ht="14.25" customHeight="1">
      <c r="B15" s="8" t="s">
        <v>19</v>
      </c>
      <c r="C15" s="3"/>
      <c r="F15" s="4"/>
      <c r="G15" s="4"/>
      <c r="H15" s="4"/>
      <c r="I15" s="10"/>
      <c r="J15" s="10"/>
    </row>
    <row r="16" ht="14.25" customHeight="1">
      <c r="B16" s="8" t="s">
        <v>20</v>
      </c>
      <c r="C16" s="3"/>
      <c r="F16" s="4"/>
      <c r="G16" s="4"/>
      <c r="H16" s="4"/>
      <c r="I16" s="10"/>
      <c r="J16" s="10"/>
    </row>
    <row r="17" ht="14.25" customHeight="1">
      <c r="B17" s="8" t="s">
        <v>21</v>
      </c>
      <c r="C17" s="3"/>
      <c r="F17" s="4"/>
      <c r="G17" s="4"/>
      <c r="H17" s="4"/>
      <c r="I17" s="10"/>
      <c r="J17" s="10"/>
    </row>
    <row r="18" ht="14.25" customHeight="1">
      <c r="C18" s="3"/>
      <c r="F18" s="4"/>
      <c r="G18" s="4"/>
      <c r="H18" s="4"/>
      <c r="I18" s="10"/>
      <c r="J18" s="10"/>
    </row>
    <row r="19" ht="14.25" customHeight="1">
      <c r="C19" s="3"/>
      <c r="F19" s="4"/>
      <c r="G19" s="4"/>
      <c r="H19" s="4"/>
      <c r="I19" s="10"/>
      <c r="J19" s="10"/>
    </row>
    <row r="20" ht="14.25" customHeight="1">
      <c r="C20" s="3"/>
      <c r="F20" s="4"/>
      <c r="G20" s="4"/>
      <c r="H20" s="4"/>
      <c r="I20" s="10"/>
      <c r="J20" s="10"/>
    </row>
    <row r="21" ht="14.25" customHeight="1">
      <c r="C21" s="3"/>
      <c r="F21" s="4"/>
      <c r="G21" s="4"/>
      <c r="H21" s="4"/>
      <c r="I21" s="10"/>
      <c r="J21" s="10"/>
    </row>
    <row r="22" ht="14.25" customHeight="1">
      <c r="C22" s="3"/>
      <c r="F22" s="4"/>
      <c r="G22" s="4"/>
      <c r="H22" s="4"/>
      <c r="I22" s="10"/>
      <c r="J22" s="10"/>
    </row>
    <row r="23" ht="14.25" customHeight="1">
      <c r="C23" s="3"/>
      <c r="F23" s="4"/>
      <c r="G23" s="4"/>
      <c r="H23" s="4"/>
      <c r="I23" s="10"/>
      <c r="J23" s="10"/>
    </row>
    <row r="24" ht="14.25" customHeight="1">
      <c r="C24" s="3"/>
    </row>
    <row r="25" ht="14.25" customHeight="1">
      <c r="C25" s="3"/>
      <c r="E25" s="15" t="s">
        <v>30</v>
      </c>
    </row>
    <row r="26" ht="14.25" customHeight="1">
      <c r="C26" s="3"/>
    </row>
    <row r="27" ht="14.25" customHeight="1">
      <c r="C27" s="3"/>
    </row>
    <row r="28" ht="14.25" customHeight="1">
      <c r="C28" s="3"/>
    </row>
    <row r="29" ht="14.25" customHeight="1">
      <c r="C29" s="3"/>
    </row>
    <row r="30" ht="14.25" customHeight="1">
      <c r="C30" s="3"/>
    </row>
    <row r="31" ht="14.25" customHeight="1">
      <c r="C31" s="3"/>
    </row>
    <row r="32" ht="14.25" customHeight="1">
      <c r="C32" s="3"/>
      <c r="E32" s="2" t="s">
        <v>38</v>
      </c>
    </row>
    <row r="33" ht="14.25" customHeight="1">
      <c r="C33" s="3"/>
      <c r="E33" s="2" t="s">
        <v>40</v>
      </c>
    </row>
    <row r="34" ht="14.25" customHeight="1">
      <c r="C34" s="3"/>
    </row>
    <row r="35" ht="14.25" customHeight="1">
      <c r="C35" s="3"/>
      <c r="E35" s="2" t="s">
        <v>41</v>
      </c>
    </row>
    <row r="36" ht="14.25" customHeight="1">
      <c r="C36" s="3"/>
    </row>
    <row r="37" ht="14.25" customHeight="1">
      <c r="C37" s="3"/>
      <c r="E37" s="2" t="s">
        <v>42</v>
      </c>
    </row>
    <row r="38" ht="14.25" customHeight="1">
      <c r="C38" s="3"/>
    </row>
    <row r="39" ht="14.25" customHeight="1">
      <c r="C39" s="3"/>
      <c r="E39" s="2" t="s">
        <v>43</v>
      </c>
    </row>
    <row r="40" ht="14.25" customHeight="1">
      <c r="C40" s="3"/>
    </row>
    <row r="41" ht="14.25" customHeight="1">
      <c r="C41" s="3"/>
      <c r="E41" s="2" t="s">
        <v>44</v>
      </c>
    </row>
    <row r="42" ht="14.25" customHeight="1">
      <c r="C42" s="3"/>
    </row>
    <row r="43" ht="14.25" customHeight="1">
      <c r="C43" s="3"/>
    </row>
    <row r="44" ht="14.25" customHeight="1">
      <c r="C44" s="3"/>
    </row>
    <row r="45" ht="14.25" customHeight="1">
      <c r="C45" s="3"/>
    </row>
    <row r="46" ht="14.25" customHeight="1">
      <c r="C46" s="3"/>
    </row>
    <row r="47" ht="14.25" customHeight="1">
      <c r="C47" s="3"/>
    </row>
    <row r="48" ht="14.25" customHeight="1">
      <c r="C48" s="3"/>
    </row>
    <row r="49" ht="14.25" customHeight="1">
      <c r="C49" s="3"/>
    </row>
    <row r="50" ht="14.25" customHeight="1">
      <c r="C50" s="3"/>
    </row>
    <row r="51" ht="14.25" customHeight="1">
      <c r="C51" s="3"/>
    </row>
    <row r="52" ht="14.25" customHeight="1">
      <c r="C52" s="3"/>
    </row>
    <row r="53" ht="14.25" customHeight="1">
      <c r="C53" s="3"/>
    </row>
    <row r="54" ht="14.25" customHeight="1">
      <c r="C54" s="3"/>
    </row>
    <row r="55" ht="14.25" customHeight="1">
      <c r="C55" s="3"/>
    </row>
    <row r="56" ht="14.25" customHeight="1">
      <c r="C56" s="3"/>
    </row>
    <row r="57" ht="14.25" customHeight="1">
      <c r="C57" s="3"/>
    </row>
    <row r="58" ht="14.25" customHeight="1">
      <c r="C58" s="3"/>
    </row>
    <row r="59" ht="14.25" customHeight="1">
      <c r="C59" s="3"/>
    </row>
    <row r="60" ht="14.25" customHeight="1">
      <c r="C60" s="3"/>
    </row>
    <row r="61" ht="14.25" customHeight="1">
      <c r="C61" s="3"/>
    </row>
    <row r="62" ht="14.25" customHeight="1">
      <c r="C62" s="3"/>
    </row>
    <row r="63" ht="14.25" customHeight="1">
      <c r="C63" s="3"/>
    </row>
    <row r="64" ht="14.25" customHeight="1">
      <c r="C64" s="3"/>
    </row>
    <row r="65" ht="14.25" customHeight="1">
      <c r="C65" s="3"/>
    </row>
    <row r="66" ht="14.25" customHeight="1">
      <c r="C66" s="3"/>
    </row>
    <row r="67" ht="14.25" customHeight="1">
      <c r="C67" s="3"/>
    </row>
    <row r="68" ht="14.25" customHeight="1">
      <c r="C68" s="3"/>
    </row>
    <row r="69" ht="14.25" customHeight="1">
      <c r="C69" s="3"/>
    </row>
    <row r="70" ht="14.25" customHeight="1">
      <c r="C70" s="3"/>
    </row>
    <row r="71" ht="14.25" customHeight="1">
      <c r="C71" s="3"/>
    </row>
    <row r="72" ht="14.25" customHeight="1">
      <c r="C72" s="3"/>
    </row>
    <row r="73" ht="14.25" customHeight="1">
      <c r="C73" s="3"/>
    </row>
    <row r="74" ht="14.25" customHeight="1">
      <c r="C74" s="3"/>
    </row>
    <row r="75" ht="14.25" customHeight="1">
      <c r="C75" s="3"/>
    </row>
    <row r="76" ht="14.25" customHeight="1">
      <c r="C76" s="3"/>
    </row>
    <row r="77" ht="14.25" customHeight="1">
      <c r="C77" s="3"/>
    </row>
    <row r="78" ht="14.25" customHeight="1">
      <c r="C78" s="3"/>
    </row>
    <row r="79" ht="14.25" customHeight="1">
      <c r="C79" s="3"/>
    </row>
    <row r="80" ht="14.25" customHeight="1">
      <c r="C80" s="3"/>
    </row>
    <row r="81" ht="14.25" customHeight="1">
      <c r="C81" s="3"/>
    </row>
    <row r="82" ht="14.25" customHeight="1">
      <c r="C82" s="3"/>
    </row>
    <row r="83" ht="14.25" customHeight="1">
      <c r="C83" s="3"/>
    </row>
    <row r="84" ht="14.25" customHeight="1">
      <c r="C84" s="3"/>
    </row>
    <row r="85" ht="14.25" customHeight="1">
      <c r="C85" s="3"/>
    </row>
    <row r="86" ht="14.25" customHeight="1">
      <c r="C86" s="3"/>
    </row>
    <row r="87" ht="14.25" customHeight="1">
      <c r="C87" s="3"/>
    </row>
    <row r="88" ht="14.25" customHeight="1">
      <c r="C88" s="3"/>
    </row>
    <row r="89" ht="14.25" customHeight="1">
      <c r="C89" s="3"/>
    </row>
    <row r="90" ht="14.25" customHeight="1">
      <c r="C90" s="3"/>
    </row>
    <row r="91" ht="14.25" customHeight="1">
      <c r="C91" s="3"/>
    </row>
    <row r="92" ht="14.25" customHeight="1">
      <c r="C92" s="3"/>
    </row>
    <row r="93" ht="14.25" customHeight="1">
      <c r="C93" s="3"/>
    </row>
    <row r="94" ht="14.25" customHeight="1">
      <c r="C94" s="3"/>
    </row>
    <row r="95" ht="14.25" customHeight="1">
      <c r="C95" s="3"/>
    </row>
    <row r="96" ht="14.25" customHeight="1">
      <c r="C96" s="3"/>
    </row>
    <row r="97" ht="14.25" customHeight="1">
      <c r="C97" s="3"/>
    </row>
    <row r="98" ht="14.25" customHeight="1">
      <c r="C98" s="3"/>
    </row>
    <row r="99" ht="14.25" customHeight="1">
      <c r="C99" s="3"/>
    </row>
    <row r="100" ht="14.25" customHeight="1">
      <c r="C100" s="3"/>
    </row>
    <row r="101" ht="14.25" customHeight="1">
      <c r="C101" s="3"/>
    </row>
    <row r="102" ht="14.25" customHeight="1">
      <c r="C102" s="3"/>
    </row>
    <row r="103" ht="14.25" customHeight="1">
      <c r="C103" s="3"/>
    </row>
    <row r="104" ht="14.25" customHeight="1">
      <c r="C104" s="3"/>
    </row>
    <row r="105" ht="14.25" customHeight="1">
      <c r="C105" s="3"/>
    </row>
    <row r="106" ht="14.25" customHeight="1">
      <c r="C106" s="3"/>
    </row>
    <row r="107" ht="14.25" customHeight="1">
      <c r="C107" s="3"/>
    </row>
    <row r="108" ht="14.25" customHeight="1">
      <c r="C108" s="3"/>
    </row>
    <row r="109" ht="14.25" customHeight="1">
      <c r="C109" s="3"/>
    </row>
    <row r="110" ht="14.25" customHeight="1">
      <c r="C110" s="3"/>
    </row>
    <row r="111" ht="14.25" customHeight="1">
      <c r="C111" s="3"/>
    </row>
    <row r="112" ht="14.25" customHeight="1">
      <c r="C112" s="3"/>
    </row>
    <row r="113" ht="14.25" customHeight="1">
      <c r="C113" s="3"/>
    </row>
    <row r="114" ht="14.25" customHeight="1">
      <c r="C114" s="3"/>
    </row>
    <row r="115" ht="14.25" customHeight="1">
      <c r="C115" s="3"/>
    </row>
    <row r="116" ht="14.25" customHeight="1">
      <c r="C116" s="3"/>
    </row>
    <row r="117" ht="14.25" customHeight="1">
      <c r="C117" s="3"/>
    </row>
    <row r="118" ht="14.25" customHeight="1">
      <c r="C118" s="3"/>
    </row>
    <row r="119" ht="14.25" customHeight="1">
      <c r="C119" s="3"/>
    </row>
    <row r="120" ht="14.25" customHeight="1">
      <c r="C120" s="3"/>
    </row>
    <row r="121" ht="14.25" customHeight="1">
      <c r="C121" s="3"/>
    </row>
    <row r="122" ht="14.25" customHeight="1">
      <c r="C122" s="3"/>
    </row>
    <row r="123" ht="14.25" customHeight="1">
      <c r="C123" s="3"/>
    </row>
    <row r="124" ht="14.25" customHeight="1">
      <c r="C124" s="3"/>
    </row>
    <row r="125" ht="14.25" customHeight="1">
      <c r="C125" s="3"/>
    </row>
    <row r="126" ht="14.25" customHeight="1">
      <c r="C126" s="3"/>
    </row>
    <row r="127" ht="14.25" customHeight="1">
      <c r="C127" s="3"/>
    </row>
    <row r="128" ht="14.25" customHeight="1">
      <c r="C128" s="3"/>
    </row>
    <row r="129" ht="14.25" customHeight="1">
      <c r="C129" s="3"/>
    </row>
    <row r="130" ht="14.25" customHeight="1">
      <c r="C130" s="3"/>
    </row>
    <row r="131" ht="14.25" customHeight="1">
      <c r="C131" s="3"/>
    </row>
    <row r="132" ht="14.25" customHeight="1">
      <c r="C132" s="3"/>
    </row>
    <row r="133" ht="14.25" customHeight="1">
      <c r="C133" s="3"/>
    </row>
    <row r="134" ht="14.25" customHeight="1">
      <c r="C134" s="3"/>
    </row>
    <row r="135" ht="14.25" customHeight="1">
      <c r="C135" s="3"/>
    </row>
    <row r="136" ht="14.25" customHeight="1">
      <c r="C136" s="3"/>
    </row>
    <row r="137" ht="14.25" customHeight="1">
      <c r="C137" s="3"/>
    </row>
    <row r="138" ht="14.25" customHeight="1">
      <c r="C138" s="3"/>
    </row>
    <row r="139" ht="14.25" customHeight="1">
      <c r="C139" s="3"/>
    </row>
    <row r="140" ht="14.25" customHeight="1">
      <c r="C140" s="3"/>
    </row>
    <row r="141" ht="14.25" customHeight="1">
      <c r="C141" s="3"/>
    </row>
    <row r="142" ht="14.25" customHeight="1">
      <c r="C142" s="3"/>
    </row>
    <row r="143" ht="14.25" customHeight="1">
      <c r="C143" s="3"/>
    </row>
    <row r="144" ht="14.25" customHeight="1">
      <c r="C144" s="3"/>
    </row>
    <row r="145" ht="14.25" customHeight="1">
      <c r="C145" s="3"/>
    </row>
    <row r="146" ht="14.25" customHeight="1">
      <c r="C146" s="3"/>
    </row>
    <row r="147" ht="14.25" customHeight="1">
      <c r="C147" s="3"/>
    </row>
    <row r="148" ht="14.25" customHeight="1">
      <c r="C148" s="3"/>
    </row>
    <row r="149" ht="14.25" customHeight="1">
      <c r="C149" s="3"/>
    </row>
    <row r="150" ht="14.25" customHeight="1">
      <c r="C150" s="3"/>
    </row>
    <row r="151" ht="14.25" customHeight="1">
      <c r="C151" s="3"/>
    </row>
    <row r="152" ht="14.25" customHeight="1">
      <c r="C152" s="3"/>
    </row>
    <row r="153" ht="14.25" customHeight="1">
      <c r="C153" s="3"/>
    </row>
    <row r="154" ht="14.25" customHeight="1">
      <c r="C154" s="3"/>
    </row>
    <row r="155" ht="14.25" customHeight="1">
      <c r="C155" s="3"/>
    </row>
    <row r="156" ht="14.25" customHeight="1">
      <c r="C156" s="3"/>
    </row>
    <row r="157" ht="14.25" customHeight="1">
      <c r="C157" s="3"/>
    </row>
    <row r="158" ht="14.25" customHeight="1">
      <c r="C158" s="3"/>
    </row>
    <row r="159" ht="14.25" customHeight="1">
      <c r="C159" s="3"/>
    </row>
    <row r="160" ht="14.25" customHeight="1">
      <c r="C160" s="3"/>
    </row>
    <row r="161" ht="14.25" customHeight="1">
      <c r="C161" s="3"/>
    </row>
    <row r="162" ht="14.25" customHeight="1">
      <c r="C162" s="3"/>
    </row>
    <row r="163" ht="14.25" customHeight="1">
      <c r="C163" s="3"/>
    </row>
    <row r="164" ht="14.25" customHeight="1">
      <c r="C164" s="3"/>
    </row>
    <row r="165" ht="14.25" customHeight="1">
      <c r="C165" s="3"/>
    </row>
    <row r="166" ht="14.25" customHeight="1">
      <c r="C166" s="3"/>
    </row>
    <row r="167" ht="14.25" customHeight="1">
      <c r="C167" s="3"/>
    </row>
    <row r="168" ht="14.25" customHeight="1">
      <c r="C168" s="3"/>
    </row>
    <row r="169" ht="14.25" customHeight="1">
      <c r="C169" s="3"/>
    </row>
    <row r="170" ht="14.25" customHeight="1">
      <c r="C170" s="3"/>
    </row>
    <row r="171" ht="14.25" customHeight="1">
      <c r="C171" s="3"/>
    </row>
    <row r="172" ht="14.25" customHeight="1">
      <c r="C172" s="3"/>
    </row>
    <row r="173" ht="14.25" customHeight="1">
      <c r="C173" s="3"/>
    </row>
    <row r="174" ht="14.25" customHeight="1">
      <c r="C174" s="3"/>
    </row>
    <row r="175" ht="14.25" customHeight="1">
      <c r="C175" s="3"/>
    </row>
    <row r="176" ht="14.25" customHeight="1">
      <c r="C176" s="3"/>
    </row>
    <row r="177" ht="14.25" customHeight="1">
      <c r="C177" s="3"/>
    </row>
    <row r="178" ht="14.25" customHeight="1">
      <c r="C178" s="3"/>
    </row>
    <row r="179" ht="14.25" customHeight="1">
      <c r="C179" s="3"/>
    </row>
    <row r="180" ht="14.25" customHeight="1">
      <c r="C180" s="3"/>
    </row>
    <row r="181" ht="14.25" customHeight="1">
      <c r="C181" s="3"/>
    </row>
    <row r="182" ht="14.25" customHeight="1">
      <c r="C182" s="3"/>
    </row>
    <row r="183" ht="14.25" customHeight="1">
      <c r="C183" s="3"/>
    </row>
    <row r="184" ht="14.25" customHeight="1">
      <c r="C184" s="3"/>
    </row>
    <row r="185" ht="14.25" customHeight="1">
      <c r="C185" s="3"/>
    </row>
    <row r="186" ht="14.25" customHeight="1">
      <c r="C186" s="3"/>
    </row>
    <row r="187" ht="14.25" customHeight="1">
      <c r="C187" s="3"/>
    </row>
    <row r="188" ht="14.25" customHeight="1">
      <c r="C188" s="3"/>
    </row>
    <row r="189" ht="14.25" customHeight="1">
      <c r="C189" s="3"/>
    </row>
    <row r="190" ht="14.25" customHeight="1">
      <c r="C190" s="3"/>
    </row>
    <row r="191" ht="14.25" customHeight="1">
      <c r="C191" s="3"/>
    </row>
    <row r="192" ht="14.25" customHeight="1">
      <c r="C192" s="3"/>
    </row>
    <row r="193" ht="14.25" customHeight="1">
      <c r="C193" s="3"/>
    </row>
    <row r="194" ht="14.25" customHeight="1">
      <c r="C194" s="3"/>
    </row>
    <row r="195" ht="14.25" customHeight="1">
      <c r="C195" s="3"/>
    </row>
    <row r="196" ht="14.25" customHeight="1">
      <c r="C196" s="3"/>
    </row>
    <row r="197" ht="14.25" customHeight="1">
      <c r="C197" s="3"/>
    </row>
    <row r="198" ht="14.25" customHeight="1">
      <c r="C198" s="3"/>
    </row>
    <row r="199" ht="14.25" customHeight="1">
      <c r="C199" s="3"/>
    </row>
    <row r="200" ht="14.25" customHeight="1">
      <c r="C200" s="3"/>
    </row>
    <row r="201" ht="14.25" customHeight="1">
      <c r="C201" s="3"/>
    </row>
    <row r="202" ht="14.25" customHeight="1">
      <c r="C202" s="3"/>
    </row>
    <row r="203" ht="14.25" customHeight="1">
      <c r="C203" s="3"/>
    </row>
    <row r="204" ht="14.25" customHeight="1">
      <c r="C204" s="3"/>
    </row>
    <row r="205" ht="14.25" customHeight="1">
      <c r="C205" s="3"/>
    </row>
    <row r="206" ht="14.25" customHeight="1">
      <c r="C206" s="3"/>
    </row>
    <row r="207" ht="14.25" customHeight="1">
      <c r="C207" s="3"/>
    </row>
    <row r="208" ht="14.25" customHeight="1">
      <c r="C208" s="3"/>
    </row>
    <row r="209" ht="14.25" customHeight="1">
      <c r="C209" s="3"/>
    </row>
    <row r="210" ht="14.25" customHeight="1">
      <c r="C210" s="3"/>
    </row>
    <row r="211" ht="14.25" customHeight="1">
      <c r="C211" s="3"/>
    </row>
    <row r="212" ht="14.25" customHeight="1">
      <c r="C212" s="3"/>
    </row>
    <row r="213" ht="14.25" customHeight="1">
      <c r="C213" s="3"/>
    </row>
    <row r="214" ht="14.25" customHeight="1">
      <c r="C214" s="3"/>
    </row>
    <row r="215" ht="14.25" customHeight="1">
      <c r="C215" s="3"/>
    </row>
    <row r="216" ht="14.25" customHeight="1">
      <c r="C216" s="3"/>
    </row>
    <row r="217" ht="14.25" customHeight="1">
      <c r="C217" s="3"/>
    </row>
    <row r="218" ht="14.25" customHeight="1">
      <c r="C218" s="3"/>
    </row>
    <row r="219" ht="14.25" customHeight="1">
      <c r="C219" s="3"/>
    </row>
    <row r="220" ht="14.25" customHeight="1">
      <c r="C220" s="3"/>
    </row>
    <row r="221" ht="14.25" customHeight="1">
      <c r="C221" s="3"/>
    </row>
    <row r="222" ht="14.25" customHeight="1">
      <c r="C222" s="3"/>
    </row>
    <row r="223" ht="14.25" customHeight="1">
      <c r="C223" s="3"/>
    </row>
    <row r="224" ht="14.25" customHeight="1">
      <c r="C224" s="3"/>
    </row>
    <row r="225" ht="14.25" customHeight="1">
      <c r="C225" s="3"/>
    </row>
    <row r="226" ht="14.25" customHeight="1">
      <c r="C226" s="3"/>
    </row>
    <row r="227" ht="14.25" customHeight="1">
      <c r="C227" s="3"/>
    </row>
    <row r="228" ht="14.25" customHeight="1">
      <c r="C228" s="3"/>
    </row>
    <row r="229" ht="14.25" customHeight="1">
      <c r="C229" s="3"/>
    </row>
    <row r="230" ht="14.25" customHeight="1">
      <c r="C230" s="3"/>
    </row>
    <row r="231" ht="14.25" customHeight="1">
      <c r="C231" s="3"/>
    </row>
    <row r="232" ht="14.25" customHeight="1">
      <c r="C232" s="3"/>
    </row>
    <row r="233" ht="14.25" customHeight="1">
      <c r="C233" s="3"/>
    </row>
    <row r="234" ht="14.25" customHeight="1">
      <c r="C234" s="3"/>
    </row>
    <row r="235" ht="14.25" customHeight="1">
      <c r="C235" s="3"/>
    </row>
    <row r="236" ht="14.25" customHeight="1">
      <c r="C236" s="3"/>
    </row>
    <row r="237" ht="14.25" customHeight="1">
      <c r="C237" s="3"/>
    </row>
    <row r="238" ht="14.25" customHeight="1">
      <c r="C238" s="3"/>
    </row>
    <row r="239" ht="14.25" customHeight="1">
      <c r="C239" s="3"/>
    </row>
    <row r="240" ht="14.25" customHeight="1">
      <c r="C240" s="3"/>
    </row>
    <row r="241" ht="14.25" customHeight="1">
      <c r="C241" s="3"/>
    </row>
    <row r="242" ht="14.25" customHeight="1">
      <c r="C242" s="3"/>
    </row>
    <row r="243" ht="14.25" customHeight="1">
      <c r="C243" s="3"/>
    </row>
    <row r="244" ht="14.25" customHeight="1">
      <c r="C244" s="3"/>
    </row>
    <row r="245" ht="14.25" customHeight="1">
      <c r="C245" s="3"/>
    </row>
    <row r="246" ht="14.25" customHeight="1">
      <c r="C246" s="3"/>
    </row>
    <row r="247" ht="14.25" customHeight="1">
      <c r="C247" s="3"/>
    </row>
    <row r="248" ht="14.25" customHeight="1">
      <c r="C248" s="3"/>
    </row>
    <row r="249" ht="14.25" customHeight="1">
      <c r="C249" s="3"/>
    </row>
    <row r="250" ht="14.25" customHeight="1">
      <c r="C250" s="3"/>
    </row>
    <row r="251" ht="14.25" customHeight="1">
      <c r="C251" s="3"/>
    </row>
    <row r="252" ht="14.25" customHeight="1">
      <c r="C252" s="3"/>
    </row>
    <row r="253" ht="14.25" customHeight="1">
      <c r="C253" s="3"/>
    </row>
    <row r="254" ht="14.25" customHeight="1">
      <c r="C254" s="3"/>
    </row>
    <row r="255" ht="14.25" customHeight="1">
      <c r="C255" s="3"/>
    </row>
    <row r="256" ht="14.25" customHeight="1">
      <c r="C256" s="3"/>
    </row>
    <row r="257" ht="14.25" customHeight="1">
      <c r="C257" s="3"/>
    </row>
    <row r="258" ht="14.25" customHeight="1">
      <c r="C258" s="3"/>
    </row>
    <row r="259" ht="14.25" customHeight="1">
      <c r="C259" s="3"/>
    </row>
    <row r="260" ht="14.25" customHeight="1">
      <c r="C260" s="3"/>
    </row>
    <row r="261" ht="14.25" customHeight="1">
      <c r="C261" s="3"/>
    </row>
    <row r="262" ht="14.25" customHeight="1">
      <c r="C262" s="3"/>
    </row>
    <row r="263" ht="14.25" customHeight="1">
      <c r="C263" s="3"/>
    </row>
    <row r="264" ht="14.25" customHeight="1">
      <c r="C264" s="3"/>
    </row>
    <row r="265" ht="14.25" customHeight="1">
      <c r="C265" s="3"/>
    </row>
    <row r="266" ht="14.25" customHeight="1">
      <c r="C266" s="3"/>
    </row>
    <row r="267" ht="14.25" customHeight="1">
      <c r="C267" s="3"/>
    </row>
    <row r="268" ht="14.25" customHeight="1">
      <c r="C268" s="3"/>
    </row>
    <row r="269" ht="14.25" customHeight="1">
      <c r="C269" s="3"/>
    </row>
    <row r="270" ht="14.25" customHeight="1">
      <c r="C270" s="3"/>
    </row>
    <row r="271" ht="14.25" customHeight="1">
      <c r="C271" s="3"/>
    </row>
    <row r="272" ht="14.25" customHeight="1">
      <c r="C272" s="3"/>
    </row>
    <row r="273" ht="14.25" customHeight="1">
      <c r="C273" s="3"/>
    </row>
    <row r="274" ht="14.25" customHeight="1">
      <c r="C274" s="3"/>
    </row>
    <row r="275" ht="14.25" customHeight="1">
      <c r="C275" s="3"/>
    </row>
    <row r="276" ht="14.25" customHeight="1">
      <c r="C276" s="3"/>
    </row>
    <row r="277" ht="14.25" customHeight="1">
      <c r="C277" s="3"/>
    </row>
    <row r="278" ht="14.25" customHeight="1">
      <c r="C278" s="3"/>
    </row>
    <row r="279" ht="14.25" customHeight="1">
      <c r="C279" s="3"/>
    </row>
    <row r="280" ht="14.25" customHeight="1">
      <c r="C280" s="3"/>
    </row>
    <row r="281" ht="14.25" customHeight="1">
      <c r="C281" s="3"/>
    </row>
    <row r="282" ht="14.25" customHeight="1">
      <c r="C282" s="3"/>
    </row>
    <row r="283" ht="14.25" customHeight="1">
      <c r="C283" s="3"/>
    </row>
    <row r="284" ht="14.25" customHeight="1">
      <c r="C284" s="3"/>
    </row>
    <row r="285" ht="14.25" customHeight="1">
      <c r="C285" s="3"/>
    </row>
    <row r="286" ht="14.25" customHeight="1">
      <c r="C286" s="3"/>
    </row>
    <row r="287" ht="14.25" customHeight="1">
      <c r="C287" s="3"/>
    </row>
    <row r="288" ht="14.25" customHeight="1">
      <c r="C288" s="3"/>
    </row>
    <row r="289" ht="14.25" customHeight="1">
      <c r="C289" s="3"/>
    </row>
    <row r="290" ht="14.25" customHeight="1">
      <c r="C290" s="3"/>
    </row>
    <row r="291" ht="14.25" customHeight="1">
      <c r="C291" s="3"/>
    </row>
    <row r="292" ht="14.25" customHeight="1">
      <c r="C292" s="3"/>
    </row>
    <row r="293" ht="14.25" customHeight="1">
      <c r="C293" s="3"/>
    </row>
    <row r="294" ht="14.25" customHeight="1">
      <c r="C294" s="3"/>
    </row>
    <row r="295" ht="14.25" customHeight="1">
      <c r="C295" s="3"/>
    </row>
    <row r="296" ht="14.25" customHeight="1">
      <c r="C296" s="3"/>
    </row>
    <row r="297" ht="14.25" customHeight="1">
      <c r="C297" s="3"/>
    </row>
    <row r="298" ht="14.25" customHeight="1">
      <c r="C298" s="3"/>
    </row>
    <row r="299" ht="14.25" customHeight="1">
      <c r="C299" s="3"/>
    </row>
    <row r="300" ht="14.25" customHeight="1">
      <c r="C300" s="3"/>
    </row>
    <row r="301" ht="14.25" customHeight="1">
      <c r="C301" s="3"/>
    </row>
    <row r="302" ht="14.25" customHeight="1">
      <c r="C302" s="3"/>
    </row>
    <row r="303" ht="14.25" customHeight="1">
      <c r="C303" s="3"/>
    </row>
    <row r="304" ht="14.25" customHeight="1">
      <c r="C304" s="3"/>
    </row>
    <row r="305" ht="14.25" customHeight="1">
      <c r="C305" s="3"/>
    </row>
    <row r="306" ht="14.25" customHeight="1">
      <c r="C306" s="3"/>
    </row>
    <row r="307" ht="14.25" customHeight="1">
      <c r="C307" s="3"/>
    </row>
    <row r="308" ht="14.25" customHeight="1">
      <c r="C308" s="3"/>
    </row>
    <row r="309" ht="14.25" customHeight="1">
      <c r="C309" s="3"/>
    </row>
    <row r="310" ht="14.25" customHeight="1">
      <c r="C310" s="3"/>
    </row>
    <row r="311" ht="14.25" customHeight="1">
      <c r="C311" s="3"/>
    </row>
    <row r="312" ht="14.25" customHeight="1">
      <c r="C312" s="3"/>
    </row>
    <row r="313" ht="14.25" customHeight="1">
      <c r="C313" s="3"/>
    </row>
    <row r="314" ht="14.25" customHeight="1">
      <c r="C314" s="3"/>
    </row>
    <row r="315" ht="14.25" customHeight="1">
      <c r="C315" s="3"/>
    </row>
    <row r="316" ht="14.25" customHeight="1">
      <c r="C316" s="3"/>
    </row>
    <row r="317" ht="14.25" customHeight="1">
      <c r="C317" s="3"/>
    </row>
    <row r="318" ht="14.25" customHeight="1">
      <c r="C318" s="3"/>
    </row>
    <row r="319" ht="14.25" customHeight="1">
      <c r="C319" s="3"/>
    </row>
    <row r="320" ht="14.25" customHeight="1">
      <c r="C320" s="3"/>
    </row>
    <row r="321" ht="14.25" customHeight="1">
      <c r="C321" s="3"/>
    </row>
    <row r="322" ht="14.25" customHeight="1">
      <c r="C322" s="3"/>
    </row>
    <row r="323" ht="14.25" customHeight="1">
      <c r="C323" s="3"/>
    </row>
    <row r="324" ht="14.25" customHeight="1">
      <c r="C324" s="3"/>
    </row>
    <row r="325" ht="14.25" customHeight="1">
      <c r="C325" s="3"/>
    </row>
    <row r="326" ht="14.25" customHeight="1">
      <c r="C326" s="3"/>
    </row>
    <row r="327" ht="14.25" customHeight="1">
      <c r="C327" s="3"/>
    </row>
    <row r="328" ht="14.25" customHeight="1">
      <c r="C328" s="3"/>
    </row>
    <row r="329" ht="14.25" customHeight="1">
      <c r="C329" s="3"/>
    </row>
    <row r="330" ht="14.25" customHeight="1">
      <c r="C330" s="3"/>
    </row>
    <row r="331" ht="14.25" customHeight="1">
      <c r="C331" s="3"/>
    </row>
    <row r="332" ht="14.25" customHeight="1">
      <c r="C332" s="3"/>
    </row>
    <row r="333" ht="14.25" customHeight="1">
      <c r="C333" s="3"/>
    </row>
    <row r="334" ht="14.25" customHeight="1">
      <c r="C334" s="3"/>
    </row>
    <row r="335" ht="14.25" customHeight="1">
      <c r="C335" s="3"/>
    </row>
    <row r="336" ht="14.25" customHeight="1">
      <c r="C336" s="3"/>
    </row>
    <row r="337" ht="14.25" customHeight="1">
      <c r="C337" s="3"/>
    </row>
    <row r="338" ht="14.25" customHeight="1">
      <c r="C338" s="3"/>
    </row>
    <row r="339" ht="14.25" customHeight="1">
      <c r="C339" s="3"/>
    </row>
    <row r="340" ht="14.25" customHeight="1">
      <c r="C340" s="3"/>
    </row>
    <row r="341" ht="14.25" customHeight="1">
      <c r="C341" s="3"/>
    </row>
    <row r="342" ht="14.25" customHeight="1">
      <c r="C342" s="3"/>
    </row>
    <row r="343" ht="14.25" customHeight="1">
      <c r="C343" s="3"/>
    </row>
    <row r="344" ht="14.25" customHeight="1">
      <c r="C344" s="3"/>
    </row>
    <row r="345" ht="14.25" customHeight="1">
      <c r="C345" s="3"/>
    </row>
    <row r="346" ht="14.25" customHeight="1">
      <c r="C346" s="3"/>
    </row>
    <row r="347" ht="14.25" customHeight="1">
      <c r="C347" s="3"/>
    </row>
    <row r="348" ht="14.25" customHeight="1">
      <c r="C348" s="3"/>
    </row>
    <row r="349" ht="14.25" customHeight="1">
      <c r="C349" s="3"/>
    </row>
    <row r="350" ht="14.25" customHeight="1">
      <c r="C350" s="3"/>
    </row>
    <row r="351" ht="14.25" customHeight="1">
      <c r="C351" s="3"/>
    </row>
    <row r="352" ht="14.25" customHeight="1">
      <c r="C352" s="3"/>
    </row>
    <row r="353" ht="14.25" customHeight="1">
      <c r="C353" s="3"/>
    </row>
    <row r="354" ht="14.25" customHeight="1">
      <c r="C354" s="3"/>
    </row>
    <row r="355" ht="14.25" customHeight="1">
      <c r="C355" s="3"/>
    </row>
    <row r="356" ht="14.25" customHeight="1">
      <c r="C356" s="3"/>
    </row>
    <row r="357" ht="14.25" customHeight="1">
      <c r="C357" s="3"/>
    </row>
    <row r="358" ht="14.25" customHeight="1">
      <c r="C358" s="3"/>
    </row>
    <row r="359" ht="14.25" customHeight="1">
      <c r="C359" s="3"/>
    </row>
    <row r="360" ht="14.25" customHeight="1">
      <c r="C360" s="3"/>
    </row>
    <row r="361" ht="14.25" customHeight="1">
      <c r="C361" s="3"/>
    </row>
    <row r="362" ht="14.25" customHeight="1">
      <c r="C362" s="3"/>
    </row>
    <row r="363" ht="14.25" customHeight="1">
      <c r="C363" s="3"/>
    </row>
    <row r="364" ht="14.25" customHeight="1">
      <c r="C364" s="3"/>
    </row>
    <row r="365" ht="14.25" customHeight="1">
      <c r="C365" s="3"/>
    </row>
    <row r="366" ht="14.25" customHeight="1">
      <c r="C366" s="3"/>
    </row>
    <row r="367" ht="14.25" customHeight="1">
      <c r="C367" s="3"/>
    </row>
    <row r="368" ht="14.25" customHeight="1">
      <c r="C368" s="3"/>
    </row>
    <row r="369" ht="14.25" customHeight="1">
      <c r="C369" s="3"/>
    </row>
    <row r="370" ht="14.25" customHeight="1">
      <c r="C370" s="3"/>
    </row>
    <row r="371" ht="14.25" customHeight="1">
      <c r="C371" s="3"/>
    </row>
    <row r="372" ht="14.25" customHeight="1">
      <c r="C372" s="3"/>
    </row>
    <row r="373" ht="14.25" customHeight="1">
      <c r="C373" s="3"/>
    </row>
    <row r="374" ht="14.25" customHeight="1">
      <c r="C374" s="3"/>
    </row>
    <row r="375" ht="14.25" customHeight="1">
      <c r="C375" s="3"/>
    </row>
    <row r="376" ht="14.25" customHeight="1">
      <c r="C376" s="3"/>
    </row>
    <row r="377" ht="14.25" customHeight="1">
      <c r="C377" s="3"/>
    </row>
    <row r="378" ht="14.25" customHeight="1">
      <c r="C378" s="3"/>
    </row>
    <row r="379" ht="14.25" customHeight="1">
      <c r="C379" s="3"/>
    </row>
    <row r="380" ht="14.25" customHeight="1">
      <c r="C380" s="3"/>
    </row>
    <row r="381" ht="14.25" customHeight="1">
      <c r="C381" s="3"/>
    </row>
    <row r="382" ht="14.25" customHeight="1">
      <c r="C382" s="3"/>
    </row>
    <row r="383" ht="14.25" customHeight="1">
      <c r="C383" s="3"/>
    </row>
    <row r="384" ht="14.25" customHeight="1">
      <c r="C384" s="3"/>
    </row>
    <row r="385" ht="14.25" customHeight="1">
      <c r="C385" s="3"/>
    </row>
    <row r="386" ht="14.25" customHeight="1">
      <c r="C386" s="3"/>
    </row>
    <row r="387" ht="14.25" customHeight="1">
      <c r="C387" s="3"/>
    </row>
    <row r="388" ht="14.25" customHeight="1">
      <c r="C388" s="3"/>
    </row>
    <row r="389" ht="14.25" customHeight="1">
      <c r="C389" s="3"/>
    </row>
    <row r="390" ht="14.25" customHeight="1">
      <c r="C390" s="3"/>
    </row>
    <row r="391" ht="14.25" customHeight="1">
      <c r="C391" s="3"/>
    </row>
    <row r="392" ht="14.25" customHeight="1">
      <c r="C392" s="3"/>
    </row>
    <row r="393" ht="14.25" customHeight="1">
      <c r="C393" s="3"/>
    </row>
    <row r="394" ht="14.25" customHeight="1">
      <c r="C394" s="3"/>
    </row>
    <row r="395" ht="14.25" customHeight="1">
      <c r="C395" s="3"/>
    </row>
    <row r="396" ht="14.25" customHeight="1">
      <c r="C396" s="3"/>
    </row>
    <row r="397" ht="14.25" customHeight="1">
      <c r="C397" s="3"/>
    </row>
    <row r="398" ht="14.25" customHeight="1">
      <c r="C398" s="3"/>
    </row>
    <row r="399" ht="14.25" customHeight="1">
      <c r="C399" s="3"/>
    </row>
    <row r="400" ht="14.25" customHeight="1">
      <c r="C400" s="3"/>
    </row>
    <row r="401" ht="14.25" customHeight="1">
      <c r="C401" s="3"/>
    </row>
    <row r="402" ht="14.25" customHeight="1">
      <c r="C402" s="3"/>
    </row>
    <row r="403" ht="14.25" customHeight="1">
      <c r="C403" s="3"/>
    </row>
    <row r="404" ht="14.25" customHeight="1">
      <c r="C404" s="3"/>
    </row>
    <row r="405" ht="14.25" customHeight="1">
      <c r="C405" s="3"/>
    </row>
    <row r="406" ht="14.25" customHeight="1">
      <c r="C406" s="3"/>
    </row>
    <row r="407" ht="14.25" customHeight="1">
      <c r="C407" s="3"/>
    </row>
    <row r="408" ht="14.25" customHeight="1">
      <c r="C408" s="3"/>
    </row>
    <row r="409" ht="14.25" customHeight="1">
      <c r="C409" s="3"/>
    </row>
    <row r="410" ht="14.25" customHeight="1">
      <c r="C410" s="3"/>
    </row>
    <row r="411" ht="14.25" customHeight="1">
      <c r="C411" s="3"/>
    </row>
    <row r="412" ht="14.25" customHeight="1">
      <c r="C412" s="3"/>
    </row>
    <row r="413" ht="14.25" customHeight="1">
      <c r="C413" s="3"/>
    </row>
    <row r="414" ht="14.25" customHeight="1">
      <c r="C414" s="3"/>
    </row>
    <row r="415" ht="14.25" customHeight="1">
      <c r="C415" s="3"/>
    </row>
    <row r="416" ht="14.25" customHeight="1">
      <c r="C416" s="3"/>
    </row>
    <row r="417" ht="14.25" customHeight="1">
      <c r="C417" s="3"/>
    </row>
    <row r="418" ht="14.25" customHeight="1">
      <c r="C418" s="3"/>
    </row>
    <row r="419" ht="14.25" customHeight="1">
      <c r="C419" s="3"/>
    </row>
    <row r="420" ht="14.25" customHeight="1">
      <c r="C420" s="3"/>
    </row>
    <row r="421" ht="14.25" customHeight="1">
      <c r="C421" s="3"/>
    </row>
    <row r="422" ht="14.25" customHeight="1">
      <c r="C422" s="3"/>
    </row>
    <row r="423" ht="14.25" customHeight="1">
      <c r="C423" s="3"/>
    </row>
    <row r="424" ht="14.25" customHeight="1">
      <c r="C424" s="3"/>
    </row>
    <row r="425" ht="14.25" customHeight="1">
      <c r="C425" s="3"/>
    </row>
    <row r="426" ht="14.25" customHeight="1">
      <c r="C426" s="3"/>
    </row>
    <row r="427" ht="14.25" customHeight="1">
      <c r="C427" s="3"/>
    </row>
    <row r="428" ht="14.25" customHeight="1">
      <c r="C428" s="3"/>
    </row>
    <row r="429" ht="14.25" customHeight="1">
      <c r="C429" s="3"/>
    </row>
    <row r="430" ht="14.25" customHeight="1">
      <c r="C430" s="3"/>
    </row>
    <row r="431" ht="14.25" customHeight="1">
      <c r="C431" s="3"/>
    </row>
    <row r="432" ht="14.25" customHeight="1">
      <c r="C432" s="3"/>
    </row>
    <row r="433" ht="14.25" customHeight="1">
      <c r="C433" s="3"/>
    </row>
    <row r="434" ht="14.25" customHeight="1">
      <c r="C434" s="3"/>
    </row>
    <row r="435" ht="14.25" customHeight="1">
      <c r="C435" s="3"/>
    </row>
    <row r="436" ht="14.25" customHeight="1">
      <c r="C436" s="3"/>
    </row>
    <row r="437" ht="14.25" customHeight="1">
      <c r="C437" s="3"/>
    </row>
    <row r="438" ht="14.25" customHeight="1">
      <c r="C438" s="3"/>
    </row>
    <row r="439" ht="14.25" customHeight="1">
      <c r="C439" s="3"/>
    </row>
    <row r="440" ht="14.25" customHeight="1">
      <c r="C440" s="3"/>
    </row>
    <row r="441" ht="14.25" customHeight="1">
      <c r="C441" s="3"/>
    </row>
    <row r="442" ht="14.25" customHeight="1">
      <c r="C442" s="3"/>
    </row>
    <row r="443" ht="14.25" customHeight="1">
      <c r="C443" s="3"/>
    </row>
    <row r="444" ht="14.25" customHeight="1">
      <c r="C444" s="3"/>
    </row>
    <row r="445" ht="14.25" customHeight="1">
      <c r="C445" s="3"/>
    </row>
    <row r="446" ht="14.25" customHeight="1">
      <c r="C446" s="3"/>
    </row>
    <row r="447" ht="14.25" customHeight="1">
      <c r="C447" s="3"/>
    </row>
    <row r="448" ht="14.25" customHeight="1">
      <c r="C448" s="3"/>
    </row>
    <row r="449" ht="14.25" customHeight="1">
      <c r="C449" s="3"/>
    </row>
    <row r="450" ht="14.25" customHeight="1">
      <c r="C450" s="3"/>
    </row>
    <row r="451" ht="14.25" customHeight="1">
      <c r="C451" s="3"/>
    </row>
    <row r="452" ht="14.25" customHeight="1">
      <c r="C452" s="3"/>
    </row>
    <row r="453" ht="14.25" customHeight="1">
      <c r="C453" s="3"/>
    </row>
    <row r="454" ht="14.25" customHeight="1">
      <c r="C454" s="3"/>
    </row>
    <row r="455" ht="14.25" customHeight="1">
      <c r="C455" s="3"/>
    </row>
    <row r="456" ht="14.25" customHeight="1">
      <c r="C456" s="3"/>
    </row>
    <row r="457" ht="14.25" customHeight="1">
      <c r="C457" s="3"/>
    </row>
    <row r="458" ht="14.25" customHeight="1">
      <c r="C458" s="3"/>
    </row>
    <row r="459" ht="14.25" customHeight="1">
      <c r="C459" s="3"/>
    </row>
    <row r="460" ht="14.25" customHeight="1">
      <c r="C460" s="3"/>
    </row>
    <row r="461" ht="14.25" customHeight="1">
      <c r="C461" s="3"/>
    </row>
    <row r="462" ht="14.25" customHeight="1">
      <c r="C462" s="3"/>
    </row>
    <row r="463" ht="14.25" customHeight="1">
      <c r="C463" s="3"/>
    </row>
    <row r="464" ht="14.25" customHeight="1">
      <c r="C464" s="3"/>
    </row>
    <row r="465" ht="14.25" customHeight="1">
      <c r="C465" s="3"/>
    </row>
    <row r="466" ht="14.25" customHeight="1">
      <c r="C466" s="3"/>
    </row>
    <row r="467" ht="14.25" customHeight="1">
      <c r="C467" s="3"/>
    </row>
    <row r="468" ht="14.25" customHeight="1">
      <c r="C468" s="3"/>
    </row>
    <row r="469" ht="14.25" customHeight="1">
      <c r="C469" s="3"/>
    </row>
    <row r="470" ht="14.25" customHeight="1">
      <c r="C470" s="3"/>
    </row>
    <row r="471" ht="14.25" customHeight="1">
      <c r="C471" s="3"/>
    </row>
    <row r="472" ht="14.25" customHeight="1">
      <c r="C472" s="3"/>
    </row>
    <row r="473" ht="14.25" customHeight="1">
      <c r="C473" s="3"/>
    </row>
    <row r="474" ht="14.25" customHeight="1">
      <c r="C474" s="3"/>
    </row>
    <row r="475" ht="14.25" customHeight="1">
      <c r="C475" s="3"/>
    </row>
    <row r="476" ht="14.25" customHeight="1">
      <c r="C476" s="3"/>
    </row>
    <row r="477" ht="14.25" customHeight="1">
      <c r="C477" s="3"/>
    </row>
    <row r="478" ht="14.25" customHeight="1">
      <c r="C478" s="3"/>
    </row>
    <row r="479" ht="14.25" customHeight="1">
      <c r="C479" s="3"/>
    </row>
    <row r="480" ht="14.25" customHeight="1">
      <c r="C480" s="3"/>
    </row>
    <row r="481" ht="14.25" customHeight="1">
      <c r="C481" s="3"/>
    </row>
    <row r="482" ht="14.25" customHeight="1">
      <c r="C482" s="3"/>
    </row>
    <row r="483" ht="14.25" customHeight="1">
      <c r="C483" s="3"/>
    </row>
    <row r="484" ht="14.25" customHeight="1">
      <c r="C484" s="3"/>
    </row>
    <row r="485" ht="14.25" customHeight="1">
      <c r="C485" s="3"/>
    </row>
    <row r="486" ht="14.25" customHeight="1">
      <c r="C486" s="3"/>
    </row>
    <row r="487" ht="14.25" customHeight="1">
      <c r="C487" s="3"/>
    </row>
    <row r="488" ht="14.25" customHeight="1">
      <c r="C488" s="3"/>
    </row>
    <row r="489" ht="14.25" customHeight="1">
      <c r="C489" s="3"/>
    </row>
    <row r="490" ht="14.25" customHeight="1">
      <c r="C490" s="3"/>
    </row>
    <row r="491" ht="14.25" customHeight="1">
      <c r="C491" s="3"/>
    </row>
    <row r="492" ht="14.25" customHeight="1">
      <c r="C492" s="3"/>
    </row>
    <row r="493" ht="14.25" customHeight="1">
      <c r="C493" s="3"/>
    </row>
    <row r="494" ht="14.25" customHeight="1">
      <c r="C494" s="3"/>
    </row>
    <row r="495" ht="14.25" customHeight="1">
      <c r="C495" s="3"/>
    </row>
    <row r="496" ht="14.25" customHeight="1">
      <c r="C496" s="3"/>
    </row>
    <row r="497" ht="14.25" customHeight="1">
      <c r="C497" s="3"/>
    </row>
    <row r="498" ht="14.25" customHeight="1">
      <c r="C498" s="3"/>
    </row>
    <row r="499" ht="14.25" customHeight="1">
      <c r="C499" s="3"/>
    </row>
    <row r="500" ht="14.25" customHeight="1">
      <c r="C500" s="3"/>
    </row>
    <row r="501" ht="14.25" customHeight="1">
      <c r="C501" s="3"/>
    </row>
    <row r="502" ht="14.25" customHeight="1">
      <c r="C502" s="3"/>
    </row>
    <row r="503" ht="14.25" customHeight="1">
      <c r="C503" s="3"/>
    </row>
    <row r="504" ht="14.25" customHeight="1">
      <c r="C504" s="3"/>
    </row>
    <row r="505" ht="14.25" customHeight="1">
      <c r="C505" s="3"/>
    </row>
    <row r="506" ht="14.25" customHeight="1">
      <c r="C506" s="3"/>
    </row>
    <row r="507" ht="14.25" customHeight="1">
      <c r="C507" s="3"/>
    </row>
    <row r="508" ht="14.25" customHeight="1">
      <c r="C508" s="3"/>
    </row>
    <row r="509" ht="14.25" customHeight="1">
      <c r="C509" s="3"/>
    </row>
    <row r="510" ht="14.25" customHeight="1">
      <c r="C510" s="3"/>
    </row>
    <row r="511" ht="14.25" customHeight="1">
      <c r="C511" s="3"/>
    </row>
    <row r="512" ht="14.25" customHeight="1">
      <c r="C512" s="3"/>
    </row>
    <row r="513" ht="14.25" customHeight="1">
      <c r="C513" s="3"/>
    </row>
    <row r="514" ht="14.25" customHeight="1">
      <c r="C514" s="3"/>
    </row>
    <row r="515" ht="14.25" customHeight="1">
      <c r="C515" s="3"/>
    </row>
    <row r="516" ht="14.25" customHeight="1">
      <c r="C516" s="3"/>
    </row>
    <row r="517" ht="14.25" customHeight="1">
      <c r="C517" s="3"/>
    </row>
    <row r="518" ht="14.25" customHeight="1">
      <c r="C518" s="3"/>
    </row>
    <row r="519" ht="14.25" customHeight="1">
      <c r="C519" s="3"/>
    </row>
    <row r="520" ht="14.25" customHeight="1">
      <c r="C520" s="3"/>
    </row>
    <row r="521" ht="14.25" customHeight="1">
      <c r="C521" s="3"/>
    </row>
    <row r="522" ht="14.25" customHeight="1">
      <c r="C522" s="3"/>
    </row>
    <row r="523" ht="14.25" customHeight="1">
      <c r="C523" s="3"/>
    </row>
    <row r="524" ht="14.25" customHeight="1">
      <c r="C524" s="3"/>
    </row>
    <row r="525" ht="14.25" customHeight="1">
      <c r="C525" s="3"/>
    </row>
    <row r="526" ht="14.25" customHeight="1">
      <c r="C526" s="3"/>
    </row>
    <row r="527" ht="14.25" customHeight="1">
      <c r="C527" s="3"/>
    </row>
    <row r="528" ht="14.25" customHeight="1">
      <c r="C528" s="3"/>
    </row>
    <row r="529" ht="14.25" customHeight="1">
      <c r="C529" s="3"/>
    </row>
    <row r="530" ht="14.25" customHeight="1">
      <c r="C530" s="3"/>
    </row>
    <row r="531" ht="14.25" customHeight="1">
      <c r="C531" s="3"/>
    </row>
    <row r="532" ht="14.25" customHeight="1">
      <c r="C532" s="3"/>
    </row>
    <row r="533" ht="14.25" customHeight="1">
      <c r="C533" s="3"/>
    </row>
    <row r="534" ht="14.25" customHeight="1">
      <c r="C534" s="3"/>
    </row>
    <row r="535" ht="14.25" customHeight="1">
      <c r="C535" s="3"/>
    </row>
    <row r="536" ht="14.25" customHeight="1">
      <c r="C536" s="3"/>
    </row>
    <row r="537" ht="14.25" customHeight="1">
      <c r="C537" s="3"/>
    </row>
    <row r="538" ht="14.25" customHeight="1">
      <c r="C538" s="3"/>
    </row>
    <row r="539" ht="14.25" customHeight="1">
      <c r="C539" s="3"/>
    </row>
    <row r="540" ht="14.25" customHeight="1">
      <c r="C540" s="3"/>
    </row>
    <row r="541" ht="14.25" customHeight="1">
      <c r="C541" s="3"/>
    </row>
    <row r="542" ht="14.25" customHeight="1">
      <c r="C542" s="3"/>
    </row>
    <row r="543" ht="14.25" customHeight="1">
      <c r="C543" s="3"/>
    </row>
    <row r="544" ht="14.25" customHeight="1">
      <c r="C544" s="3"/>
    </row>
    <row r="545" ht="14.25" customHeight="1">
      <c r="C545" s="3"/>
    </row>
    <row r="546" ht="14.25" customHeight="1">
      <c r="C546" s="3"/>
    </row>
    <row r="547" ht="14.25" customHeight="1">
      <c r="C547" s="3"/>
    </row>
    <row r="548" ht="14.25" customHeight="1">
      <c r="C548" s="3"/>
    </row>
    <row r="549" ht="14.25" customHeight="1">
      <c r="C549" s="3"/>
    </row>
    <row r="550" ht="14.25" customHeight="1">
      <c r="C550" s="3"/>
    </row>
    <row r="551" ht="14.25" customHeight="1">
      <c r="C551" s="3"/>
    </row>
    <row r="552" ht="14.25" customHeight="1">
      <c r="C552" s="3"/>
    </row>
    <row r="553" ht="14.25" customHeight="1">
      <c r="C553" s="3"/>
    </row>
    <row r="554" ht="14.25" customHeight="1">
      <c r="C554" s="3"/>
    </row>
    <row r="555" ht="14.25" customHeight="1">
      <c r="C555" s="3"/>
    </row>
    <row r="556" ht="14.25" customHeight="1">
      <c r="C556" s="3"/>
    </row>
    <row r="557" ht="14.25" customHeight="1">
      <c r="C557" s="3"/>
    </row>
    <row r="558" ht="14.25" customHeight="1">
      <c r="C558" s="3"/>
    </row>
    <row r="559" ht="14.25" customHeight="1">
      <c r="C559" s="3"/>
    </row>
    <row r="560" ht="14.25" customHeight="1">
      <c r="C560" s="3"/>
    </row>
    <row r="561" ht="14.25" customHeight="1">
      <c r="C561" s="3"/>
    </row>
    <row r="562" ht="14.25" customHeight="1">
      <c r="C562" s="3"/>
    </row>
    <row r="563" ht="14.25" customHeight="1">
      <c r="C563" s="3"/>
    </row>
    <row r="564" ht="14.25" customHeight="1">
      <c r="C564" s="3"/>
    </row>
    <row r="565" ht="14.25" customHeight="1">
      <c r="C565" s="3"/>
    </row>
    <row r="566" ht="14.25" customHeight="1">
      <c r="C566" s="3"/>
    </row>
    <row r="567" ht="14.25" customHeight="1">
      <c r="C567" s="3"/>
    </row>
    <row r="568" ht="14.25" customHeight="1">
      <c r="C568" s="3"/>
    </row>
    <row r="569" ht="14.25" customHeight="1">
      <c r="C569" s="3"/>
    </row>
    <row r="570" ht="14.25" customHeight="1">
      <c r="C570" s="3"/>
    </row>
    <row r="571" ht="14.25" customHeight="1">
      <c r="C571" s="3"/>
    </row>
    <row r="572" ht="14.25" customHeight="1">
      <c r="C572" s="3"/>
    </row>
    <row r="573" ht="14.25" customHeight="1">
      <c r="C573" s="3"/>
    </row>
    <row r="574" ht="14.25" customHeight="1">
      <c r="C574" s="3"/>
    </row>
    <row r="575" ht="14.25" customHeight="1">
      <c r="C575" s="3"/>
    </row>
    <row r="576" ht="14.25" customHeight="1">
      <c r="C576" s="3"/>
    </row>
    <row r="577" ht="14.25" customHeight="1">
      <c r="C577" s="3"/>
    </row>
    <row r="578" ht="14.25" customHeight="1">
      <c r="C578" s="3"/>
    </row>
    <row r="579" ht="14.25" customHeight="1">
      <c r="C579" s="3"/>
    </row>
    <row r="580" ht="14.25" customHeight="1">
      <c r="C580" s="3"/>
    </row>
    <row r="581" ht="14.25" customHeight="1">
      <c r="C581" s="3"/>
    </row>
    <row r="582" ht="14.25" customHeight="1">
      <c r="C582" s="3"/>
    </row>
    <row r="583" ht="14.25" customHeight="1">
      <c r="C583" s="3"/>
    </row>
    <row r="584" ht="14.25" customHeight="1">
      <c r="C584" s="3"/>
    </row>
    <row r="585" ht="14.25" customHeight="1">
      <c r="C585" s="3"/>
    </row>
    <row r="586" ht="14.25" customHeight="1">
      <c r="C586" s="3"/>
    </row>
    <row r="587" ht="14.25" customHeight="1">
      <c r="C587" s="3"/>
    </row>
    <row r="588" ht="14.25" customHeight="1">
      <c r="C588" s="3"/>
    </row>
    <row r="589" ht="14.25" customHeight="1">
      <c r="C589" s="3"/>
    </row>
    <row r="590" ht="14.25" customHeight="1">
      <c r="C590" s="3"/>
    </row>
    <row r="591" ht="14.25" customHeight="1">
      <c r="C591" s="3"/>
    </row>
    <row r="592" ht="14.25" customHeight="1">
      <c r="C592" s="3"/>
    </row>
    <row r="593" ht="14.25" customHeight="1">
      <c r="C593" s="3"/>
    </row>
    <row r="594" ht="14.25" customHeight="1">
      <c r="C594" s="3"/>
    </row>
    <row r="595" ht="14.25" customHeight="1">
      <c r="C595" s="3"/>
    </row>
    <row r="596" ht="14.25" customHeight="1">
      <c r="C596" s="3"/>
    </row>
    <row r="597" ht="14.25" customHeight="1">
      <c r="C597" s="3"/>
    </row>
    <row r="598" ht="14.25" customHeight="1">
      <c r="C598" s="3"/>
    </row>
    <row r="599" ht="14.25" customHeight="1">
      <c r="C599" s="3"/>
    </row>
    <row r="600" ht="14.25" customHeight="1">
      <c r="C600" s="3"/>
    </row>
    <row r="601" ht="14.25" customHeight="1">
      <c r="C601" s="3"/>
    </row>
    <row r="602" ht="14.25" customHeight="1">
      <c r="C602" s="3"/>
    </row>
    <row r="603" ht="14.25" customHeight="1">
      <c r="C603" s="3"/>
    </row>
    <row r="604" ht="14.25" customHeight="1">
      <c r="C604" s="3"/>
    </row>
    <row r="605" ht="14.25" customHeight="1">
      <c r="C605" s="3"/>
    </row>
    <row r="606" ht="14.25" customHeight="1">
      <c r="C606" s="3"/>
    </row>
    <row r="607" ht="14.25" customHeight="1">
      <c r="C607" s="3"/>
    </row>
    <row r="608" ht="14.25" customHeight="1">
      <c r="C608" s="3"/>
    </row>
    <row r="609" ht="14.25" customHeight="1">
      <c r="C609" s="3"/>
    </row>
    <row r="610" ht="14.25" customHeight="1">
      <c r="C610" s="3"/>
    </row>
    <row r="611" ht="14.25" customHeight="1">
      <c r="C611" s="3"/>
    </row>
    <row r="612" ht="14.25" customHeight="1">
      <c r="C612" s="3"/>
    </row>
    <row r="613" ht="14.25" customHeight="1">
      <c r="C613" s="3"/>
    </row>
    <row r="614" ht="14.25" customHeight="1">
      <c r="C614" s="3"/>
    </row>
    <row r="615" ht="14.25" customHeight="1">
      <c r="C615" s="3"/>
    </row>
    <row r="616" ht="14.25" customHeight="1">
      <c r="C616" s="3"/>
    </row>
    <row r="617" ht="14.25" customHeight="1">
      <c r="C617" s="3"/>
    </row>
    <row r="618" ht="14.25" customHeight="1">
      <c r="C618" s="3"/>
    </row>
    <row r="619" ht="14.25" customHeight="1">
      <c r="C619" s="3"/>
    </row>
    <row r="620" ht="14.25" customHeight="1">
      <c r="C620" s="3"/>
    </row>
    <row r="621" ht="14.25" customHeight="1">
      <c r="C621" s="3"/>
    </row>
    <row r="622" ht="14.25" customHeight="1">
      <c r="C622" s="3"/>
    </row>
    <row r="623" ht="14.25" customHeight="1">
      <c r="C623" s="3"/>
    </row>
    <row r="624" ht="14.25" customHeight="1">
      <c r="C624" s="3"/>
    </row>
    <row r="625" ht="14.25" customHeight="1">
      <c r="C625" s="3"/>
    </row>
    <row r="626" ht="14.25" customHeight="1">
      <c r="C626" s="3"/>
    </row>
    <row r="627" ht="14.25" customHeight="1">
      <c r="C627" s="3"/>
    </row>
    <row r="628" ht="14.25" customHeight="1">
      <c r="C628" s="3"/>
    </row>
    <row r="629" ht="14.25" customHeight="1">
      <c r="C629" s="3"/>
    </row>
    <row r="630" ht="14.25" customHeight="1">
      <c r="C630" s="3"/>
    </row>
    <row r="631" ht="14.25" customHeight="1">
      <c r="C631" s="3"/>
    </row>
    <row r="632" ht="14.25" customHeight="1">
      <c r="C632" s="3"/>
    </row>
    <row r="633" ht="14.25" customHeight="1">
      <c r="C633" s="3"/>
    </row>
    <row r="634" ht="14.25" customHeight="1">
      <c r="C634" s="3"/>
    </row>
    <row r="635" ht="14.25" customHeight="1">
      <c r="C635" s="3"/>
    </row>
    <row r="636" ht="14.25" customHeight="1">
      <c r="C636" s="3"/>
    </row>
    <row r="637" ht="14.25" customHeight="1">
      <c r="C637" s="3"/>
    </row>
    <row r="638" ht="14.25" customHeight="1">
      <c r="C638" s="3"/>
    </row>
    <row r="639" ht="14.25" customHeight="1">
      <c r="C639" s="3"/>
    </row>
    <row r="640" ht="14.25" customHeight="1">
      <c r="C640" s="3"/>
    </row>
    <row r="641" ht="14.25" customHeight="1">
      <c r="C641" s="3"/>
    </row>
    <row r="642" ht="14.25" customHeight="1">
      <c r="C642" s="3"/>
    </row>
    <row r="643" ht="14.25" customHeight="1">
      <c r="C643" s="3"/>
    </row>
    <row r="644" ht="14.25" customHeight="1">
      <c r="C644" s="3"/>
    </row>
    <row r="645" ht="14.25" customHeight="1">
      <c r="C645" s="3"/>
    </row>
    <row r="646" ht="14.25" customHeight="1">
      <c r="C646" s="3"/>
    </row>
    <row r="647" ht="14.25" customHeight="1">
      <c r="C647" s="3"/>
    </row>
    <row r="648" ht="14.25" customHeight="1">
      <c r="C648" s="3"/>
    </row>
    <row r="649" ht="14.25" customHeight="1">
      <c r="C649" s="3"/>
    </row>
    <row r="650" ht="14.25" customHeight="1">
      <c r="C650" s="3"/>
    </row>
    <row r="651" ht="14.25" customHeight="1">
      <c r="C651" s="3"/>
    </row>
    <row r="652" ht="14.25" customHeight="1">
      <c r="C652" s="3"/>
    </row>
    <row r="653" ht="14.25" customHeight="1">
      <c r="C653" s="3"/>
    </row>
    <row r="654" ht="14.25" customHeight="1">
      <c r="C654" s="3"/>
    </row>
    <row r="655" ht="14.25" customHeight="1">
      <c r="C655" s="3"/>
    </row>
    <row r="656" ht="14.25" customHeight="1">
      <c r="C656" s="3"/>
    </row>
    <row r="657" ht="14.25" customHeight="1">
      <c r="C657" s="3"/>
    </row>
    <row r="658" ht="14.25" customHeight="1">
      <c r="C658" s="3"/>
    </row>
    <row r="659" ht="14.25" customHeight="1">
      <c r="C659" s="3"/>
    </row>
    <row r="660" ht="14.25" customHeight="1">
      <c r="C660" s="3"/>
    </row>
    <row r="661" ht="14.25" customHeight="1">
      <c r="C661" s="3"/>
    </row>
    <row r="662" ht="14.25" customHeight="1">
      <c r="C662" s="3"/>
    </row>
    <row r="663" ht="14.25" customHeight="1">
      <c r="C663" s="3"/>
    </row>
    <row r="664" ht="14.25" customHeight="1">
      <c r="C664" s="3"/>
    </row>
    <row r="665" ht="14.25" customHeight="1">
      <c r="C665" s="3"/>
    </row>
    <row r="666" ht="14.25" customHeight="1">
      <c r="C666" s="3"/>
    </row>
    <row r="667" ht="14.25" customHeight="1">
      <c r="C667" s="3"/>
    </row>
    <row r="668" ht="14.25" customHeight="1">
      <c r="C668" s="3"/>
    </row>
    <row r="669" ht="14.25" customHeight="1">
      <c r="C669" s="3"/>
    </row>
    <row r="670" ht="14.25" customHeight="1">
      <c r="C670" s="3"/>
    </row>
    <row r="671" ht="14.25" customHeight="1">
      <c r="C671" s="3"/>
    </row>
    <row r="672" ht="14.25" customHeight="1">
      <c r="C672" s="3"/>
    </row>
    <row r="673" ht="14.25" customHeight="1">
      <c r="C673" s="3"/>
    </row>
    <row r="674" ht="14.25" customHeight="1">
      <c r="C674" s="3"/>
    </row>
    <row r="675" ht="14.25" customHeight="1">
      <c r="C675" s="3"/>
    </row>
    <row r="676" ht="14.25" customHeight="1">
      <c r="C676" s="3"/>
    </row>
    <row r="677" ht="14.25" customHeight="1">
      <c r="C677" s="3"/>
    </row>
    <row r="678" ht="14.25" customHeight="1">
      <c r="C678" s="3"/>
    </row>
    <row r="679" ht="14.25" customHeight="1">
      <c r="C679" s="3"/>
    </row>
    <row r="680" ht="14.25" customHeight="1">
      <c r="C680" s="3"/>
    </row>
    <row r="681" ht="14.25" customHeight="1">
      <c r="C681" s="3"/>
    </row>
    <row r="682" ht="14.25" customHeight="1">
      <c r="C682" s="3"/>
    </row>
    <row r="683" ht="14.25" customHeight="1">
      <c r="C683" s="3"/>
    </row>
    <row r="684" ht="14.25" customHeight="1">
      <c r="C684" s="3"/>
    </row>
    <row r="685" ht="14.25" customHeight="1">
      <c r="C685" s="3"/>
    </row>
    <row r="686" ht="14.25" customHeight="1">
      <c r="C686" s="3"/>
    </row>
    <row r="687" ht="14.25" customHeight="1">
      <c r="C687" s="3"/>
    </row>
    <row r="688" ht="14.25" customHeight="1">
      <c r="C688" s="3"/>
    </row>
    <row r="689" ht="14.25" customHeight="1">
      <c r="C689" s="3"/>
    </row>
    <row r="690" ht="14.25" customHeight="1">
      <c r="C690" s="3"/>
    </row>
    <row r="691" ht="14.25" customHeight="1">
      <c r="C691" s="3"/>
    </row>
    <row r="692" ht="14.25" customHeight="1">
      <c r="C692" s="3"/>
    </row>
    <row r="693" ht="14.25" customHeight="1">
      <c r="C693" s="3"/>
    </row>
    <row r="694" ht="14.25" customHeight="1">
      <c r="C694" s="3"/>
    </row>
    <row r="695" ht="14.25" customHeight="1">
      <c r="C695" s="3"/>
    </row>
    <row r="696" ht="14.25" customHeight="1">
      <c r="C696" s="3"/>
    </row>
    <row r="697" ht="14.25" customHeight="1">
      <c r="C697" s="3"/>
    </row>
    <row r="698" ht="14.25" customHeight="1">
      <c r="C698" s="3"/>
    </row>
    <row r="699" ht="14.25" customHeight="1">
      <c r="C699" s="3"/>
    </row>
    <row r="700" ht="14.25" customHeight="1">
      <c r="C700" s="3"/>
    </row>
    <row r="701" ht="14.25" customHeight="1">
      <c r="C701" s="3"/>
    </row>
    <row r="702" ht="14.25" customHeight="1">
      <c r="C702" s="3"/>
    </row>
    <row r="703" ht="14.25" customHeight="1">
      <c r="C703" s="3"/>
    </row>
    <row r="704" ht="14.25" customHeight="1">
      <c r="C704" s="3"/>
    </row>
    <row r="705" ht="14.25" customHeight="1">
      <c r="C705" s="3"/>
    </row>
    <row r="706" ht="14.25" customHeight="1">
      <c r="C706" s="3"/>
    </row>
    <row r="707" ht="14.25" customHeight="1">
      <c r="C707" s="3"/>
    </row>
    <row r="708" ht="14.25" customHeight="1">
      <c r="C708" s="3"/>
    </row>
    <row r="709" ht="14.25" customHeight="1">
      <c r="C709" s="3"/>
    </row>
    <row r="710" ht="14.25" customHeight="1">
      <c r="C710" s="3"/>
    </row>
    <row r="711" ht="14.25" customHeight="1">
      <c r="C711" s="3"/>
    </row>
    <row r="712" ht="14.25" customHeight="1">
      <c r="C712" s="3"/>
    </row>
    <row r="713" ht="14.25" customHeight="1">
      <c r="C713" s="3"/>
    </row>
    <row r="714" ht="14.25" customHeight="1">
      <c r="C714" s="3"/>
    </row>
    <row r="715" ht="14.25" customHeight="1">
      <c r="C715" s="3"/>
    </row>
    <row r="716" ht="14.25" customHeight="1">
      <c r="C716" s="3"/>
    </row>
    <row r="717" ht="14.25" customHeight="1">
      <c r="C717" s="3"/>
    </row>
    <row r="718" ht="14.25" customHeight="1">
      <c r="C718" s="3"/>
    </row>
    <row r="719" ht="14.25" customHeight="1">
      <c r="C719" s="3"/>
    </row>
    <row r="720" ht="14.25" customHeight="1">
      <c r="C720" s="3"/>
    </row>
    <row r="721" ht="14.25" customHeight="1">
      <c r="C721" s="3"/>
    </row>
    <row r="722" ht="14.25" customHeight="1">
      <c r="C722" s="3"/>
    </row>
    <row r="723" ht="14.25" customHeight="1">
      <c r="C723" s="3"/>
    </row>
    <row r="724" ht="14.25" customHeight="1">
      <c r="C724" s="3"/>
    </row>
    <row r="725" ht="14.25" customHeight="1">
      <c r="C725" s="3"/>
    </row>
    <row r="726" ht="14.25" customHeight="1">
      <c r="C726" s="3"/>
    </row>
    <row r="727" ht="14.25" customHeight="1">
      <c r="C727" s="3"/>
    </row>
    <row r="728" ht="14.25" customHeight="1">
      <c r="C728" s="3"/>
    </row>
    <row r="729" ht="14.25" customHeight="1">
      <c r="C729" s="3"/>
    </row>
    <row r="730" ht="14.25" customHeight="1">
      <c r="C730" s="3"/>
    </row>
    <row r="731" ht="14.25" customHeight="1">
      <c r="C731" s="3"/>
    </row>
    <row r="732" ht="14.25" customHeight="1">
      <c r="C732" s="3"/>
    </row>
    <row r="733" ht="14.25" customHeight="1">
      <c r="C733" s="3"/>
    </row>
    <row r="734" ht="14.25" customHeight="1">
      <c r="C734" s="3"/>
    </row>
    <row r="735" ht="14.25" customHeight="1">
      <c r="C735" s="3"/>
    </row>
    <row r="736" ht="14.25" customHeight="1">
      <c r="C736" s="3"/>
    </row>
    <row r="737" ht="14.25" customHeight="1">
      <c r="C737" s="3"/>
    </row>
    <row r="738" ht="14.25" customHeight="1">
      <c r="C738" s="3"/>
    </row>
    <row r="739" ht="14.25" customHeight="1">
      <c r="C739" s="3"/>
    </row>
    <row r="740" ht="14.25" customHeight="1">
      <c r="C740" s="3"/>
    </row>
    <row r="741" ht="14.25" customHeight="1">
      <c r="C741" s="3"/>
    </row>
    <row r="742" ht="14.25" customHeight="1">
      <c r="C742" s="3"/>
    </row>
    <row r="743" ht="14.25" customHeight="1">
      <c r="C743" s="3"/>
    </row>
    <row r="744" ht="14.25" customHeight="1">
      <c r="C744" s="3"/>
    </row>
    <row r="745" ht="14.25" customHeight="1">
      <c r="C745" s="3"/>
    </row>
    <row r="746" ht="14.25" customHeight="1">
      <c r="C746" s="3"/>
    </row>
    <row r="747" ht="14.25" customHeight="1">
      <c r="C747" s="3"/>
    </row>
    <row r="748" ht="14.25" customHeight="1">
      <c r="C748" s="3"/>
    </row>
    <row r="749" ht="14.25" customHeight="1">
      <c r="C749" s="3"/>
    </row>
    <row r="750" ht="14.25" customHeight="1">
      <c r="C750" s="3"/>
    </row>
    <row r="751" ht="14.25" customHeight="1">
      <c r="C751" s="3"/>
    </row>
    <row r="752" ht="14.25" customHeight="1">
      <c r="C752" s="3"/>
    </row>
    <row r="753" ht="14.25" customHeight="1">
      <c r="C753" s="3"/>
    </row>
    <row r="754" ht="14.25" customHeight="1">
      <c r="C754" s="3"/>
    </row>
    <row r="755" ht="14.25" customHeight="1">
      <c r="C755" s="3"/>
    </row>
    <row r="756" ht="14.25" customHeight="1">
      <c r="C756" s="3"/>
    </row>
    <row r="757" ht="14.25" customHeight="1">
      <c r="C757" s="3"/>
    </row>
    <row r="758" ht="14.25" customHeight="1">
      <c r="C758" s="3"/>
    </row>
    <row r="759" ht="14.25" customHeight="1">
      <c r="C759" s="3"/>
    </row>
    <row r="760" ht="14.25" customHeight="1">
      <c r="C760" s="3"/>
    </row>
    <row r="761" ht="14.25" customHeight="1">
      <c r="C761" s="3"/>
    </row>
    <row r="762" ht="14.25" customHeight="1">
      <c r="C762" s="3"/>
    </row>
    <row r="763" ht="14.25" customHeight="1">
      <c r="C763" s="3"/>
    </row>
    <row r="764" ht="14.25" customHeight="1">
      <c r="C764" s="3"/>
    </row>
    <row r="765" ht="14.25" customHeight="1">
      <c r="C765" s="3"/>
    </row>
    <row r="766" ht="14.25" customHeight="1">
      <c r="C766" s="3"/>
    </row>
    <row r="767" ht="14.25" customHeight="1">
      <c r="C767" s="3"/>
    </row>
    <row r="768" ht="14.25" customHeight="1">
      <c r="C768" s="3"/>
    </row>
    <row r="769" ht="14.25" customHeight="1">
      <c r="C769" s="3"/>
    </row>
    <row r="770" ht="14.25" customHeight="1">
      <c r="C770" s="3"/>
    </row>
    <row r="771" ht="14.25" customHeight="1">
      <c r="C771" s="3"/>
    </row>
    <row r="772" ht="14.25" customHeight="1">
      <c r="C772" s="3"/>
    </row>
    <row r="773" ht="14.25" customHeight="1">
      <c r="C773" s="3"/>
    </row>
    <row r="774" ht="14.25" customHeight="1">
      <c r="C774" s="3"/>
    </row>
    <row r="775" ht="14.25" customHeight="1">
      <c r="C775" s="3"/>
    </row>
    <row r="776" ht="14.25" customHeight="1">
      <c r="C776" s="3"/>
    </row>
    <row r="777" ht="14.25" customHeight="1">
      <c r="C777" s="3"/>
    </row>
    <row r="778" ht="14.25" customHeight="1">
      <c r="C778" s="3"/>
    </row>
    <row r="779" ht="14.25" customHeight="1">
      <c r="C779" s="3"/>
    </row>
    <row r="780" ht="14.25" customHeight="1">
      <c r="C780" s="3"/>
    </row>
    <row r="781" ht="14.25" customHeight="1">
      <c r="C781" s="3"/>
    </row>
    <row r="782" ht="14.25" customHeight="1">
      <c r="C782" s="3"/>
    </row>
    <row r="783" ht="14.25" customHeight="1">
      <c r="C783" s="3"/>
    </row>
    <row r="784" ht="14.25" customHeight="1">
      <c r="C784" s="3"/>
    </row>
    <row r="785" ht="14.25" customHeight="1">
      <c r="C785" s="3"/>
    </row>
    <row r="786" ht="14.25" customHeight="1">
      <c r="C786" s="3"/>
    </row>
    <row r="787" ht="14.25" customHeight="1">
      <c r="C787" s="3"/>
    </row>
    <row r="788" ht="14.25" customHeight="1">
      <c r="C788" s="3"/>
    </row>
    <row r="789" ht="14.25" customHeight="1">
      <c r="C789" s="3"/>
    </row>
    <row r="790" ht="14.25" customHeight="1">
      <c r="C790" s="3"/>
    </row>
    <row r="791" ht="14.25" customHeight="1">
      <c r="C791" s="3"/>
    </row>
    <row r="792" ht="14.25" customHeight="1">
      <c r="C792" s="3"/>
    </row>
    <row r="793" ht="14.25" customHeight="1">
      <c r="C793" s="3"/>
    </row>
    <row r="794" ht="14.25" customHeight="1">
      <c r="C794" s="3"/>
    </row>
    <row r="795" ht="14.25" customHeight="1">
      <c r="C795" s="3"/>
    </row>
    <row r="796" ht="14.25" customHeight="1">
      <c r="C796" s="3"/>
    </row>
    <row r="797" ht="14.25" customHeight="1">
      <c r="C797" s="3"/>
    </row>
    <row r="798" ht="14.25" customHeight="1">
      <c r="C798" s="3"/>
    </row>
    <row r="799" ht="14.25" customHeight="1">
      <c r="C799" s="3"/>
    </row>
    <row r="800" ht="14.25" customHeight="1">
      <c r="C800" s="3"/>
    </row>
    <row r="801" ht="14.25" customHeight="1">
      <c r="C801" s="3"/>
    </row>
    <row r="802" ht="14.25" customHeight="1">
      <c r="C802" s="3"/>
    </row>
    <row r="803" ht="14.25" customHeight="1">
      <c r="C803" s="3"/>
    </row>
    <row r="804" ht="14.25" customHeight="1">
      <c r="C804" s="3"/>
    </row>
    <row r="805" ht="14.25" customHeight="1">
      <c r="C805" s="3"/>
    </row>
    <row r="806" ht="14.25" customHeight="1">
      <c r="C806" s="3"/>
    </row>
    <row r="807" ht="14.25" customHeight="1">
      <c r="C807" s="3"/>
    </row>
    <row r="808" ht="14.25" customHeight="1">
      <c r="C808" s="3"/>
    </row>
    <row r="809" ht="14.25" customHeight="1">
      <c r="C809" s="3"/>
    </row>
    <row r="810" ht="14.25" customHeight="1">
      <c r="C810" s="3"/>
    </row>
    <row r="811" ht="14.25" customHeight="1">
      <c r="C811" s="3"/>
    </row>
    <row r="812" ht="14.25" customHeight="1">
      <c r="C812" s="3"/>
    </row>
    <row r="813" ht="14.25" customHeight="1">
      <c r="C813" s="3"/>
    </row>
    <row r="814" ht="14.25" customHeight="1">
      <c r="C814" s="3"/>
    </row>
    <row r="815" ht="14.25" customHeight="1">
      <c r="C815" s="3"/>
    </row>
    <row r="816" ht="14.25" customHeight="1">
      <c r="C816" s="3"/>
    </row>
    <row r="817" ht="14.25" customHeight="1">
      <c r="C817" s="3"/>
    </row>
    <row r="818" ht="14.25" customHeight="1">
      <c r="C818" s="3"/>
    </row>
    <row r="819" ht="14.25" customHeight="1">
      <c r="C819" s="3"/>
    </row>
    <row r="820" ht="14.25" customHeight="1">
      <c r="C820" s="3"/>
    </row>
    <row r="821" ht="14.25" customHeight="1">
      <c r="C821" s="3"/>
    </row>
    <row r="822" ht="14.25" customHeight="1">
      <c r="C822" s="3"/>
    </row>
    <row r="823" ht="14.25" customHeight="1">
      <c r="C823" s="3"/>
    </row>
    <row r="824" ht="14.25" customHeight="1">
      <c r="C824" s="3"/>
    </row>
    <row r="825" ht="14.25" customHeight="1">
      <c r="C825" s="3"/>
    </row>
    <row r="826" ht="14.25" customHeight="1">
      <c r="C826" s="3"/>
    </row>
    <row r="827" ht="14.25" customHeight="1">
      <c r="C827" s="3"/>
    </row>
    <row r="828" ht="14.25" customHeight="1">
      <c r="C828" s="3"/>
    </row>
    <row r="829" ht="14.25" customHeight="1">
      <c r="C829" s="3"/>
    </row>
    <row r="830" ht="14.25" customHeight="1">
      <c r="C830" s="3"/>
    </row>
    <row r="831" ht="14.25" customHeight="1">
      <c r="C831" s="3"/>
    </row>
    <row r="832" ht="14.25" customHeight="1">
      <c r="C832" s="3"/>
    </row>
    <row r="833" ht="14.25" customHeight="1">
      <c r="C833" s="3"/>
    </row>
    <row r="834" ht="14.25" customHeight="1">
      <c r="C834" s="3"/>
    </row>
    <row r="835" ht="14.25" customHeight="1">
      <c r="C835" s="3"/>
    </row>
    <row r="836" ht="14.25" customHeight="1">
      <c r="C836" s="3"/>
    </row>
    <row r="837" ht="14.25" customHeight="1">
      <c r="C837" s="3"/>
    </row>
    <row r="838" ht="14.25" customHeight="1">
      <c r="C838" s="3"/>
    </row>
    <row r="839" ht="14.25" customHeight="1">
      <c r="C839" s="3"/>
    </row>
    <row r="840" ht="14.25" customHeight="1">
      <c r="C840" s="3"/>
    </row>
    <row r="841" ht="14.25" customHeight="1">
      <c r="C841" s="3"/>
    </row>
    <row r="842" ht="14.25" customHeight="1">
      <c r="C842" s="3"/>
    </row>
    <row r="843" ht="14.25" customHeight="1">
      <c r="C843" s="3"/>
    </row>
    <row r="844" ht="14.25" customHeight="1">
      <c r="C844" s="3"/>
    </row>
    <row r="845" ht="14.25" customHeight="1">
      <c r="C845" s="3"/>
    </row>
    <row r="846" ht="14.25" customHeight="1">
      <c r="C846" s="3"/>
    </row>
    <row r="847" ht="14.25" customHeight="1">
      <c r="C847" s="3"/>
    </row>
    <row r="848" ht="14.25" customHeight="1">
      <c r="C848" s="3"/>
    </row>
    <row r="849" ht="14.25" customHeight="1">
      <c r="C849" s="3"/>
    </row>
    <row r="850" ht="14.25" customHeight="1">
      <c r="C850" s="3"/>
    </row>
    <row r="851" ht="14.25" customHeight="1">
      <c r="C851" s="3"/>
    </row>
    <row r="852" ht="14.25" customHeight="1">
      <c r="C852" s="3"/>
    </row>
    <row r="853" ht="14.25" customHeight="1">
      <c r="C853" s="3"/>
    </row>
    <row r="854" ht="14.25" customHeight="1">
      <c r="C854" s="3"/>
    </row>
    <row r="855" ht="14.25" customHeight="1">
      <c r="C855" s="3"/>
    </row>
    <row r="856" ht="14.25" customHeight="1">
      <c r="C856" s="3"/>
    </row>
    <row r="857" ht="14.25" customHeight="1">
      <c r="C857" s="3"/>
    </row>
    <row r="858" ht="14.25" customHeight="1">
      <c r="C858" s="3"/>
    </row>
    <row r="859" ht="14.25" customHeight="1">
      <c r="C859" s="3"/>
    </row>
    <row r="860" ht="14.25" customHeight="1">
      <c r="C860" s="3"/>
    </row>
    <row r="861" ht="14.25" customHeight="1">
      <c r="C861" s="3"/>
    </row>
    <row r="862" ht="14.25" customHeight="1">
      <c r="C862" s="3"/>
    </row>
    <row r="863" ht="14.25" customHeight="1">
      <c r="C863" s="3"/>
    </row>
    <row r="864" ht="14.25" customHeight="1">
      <c r="C864" s="3"/>
    </row>
    <row r="865" ht="14.25" customHeight="1">
      <c r="C865" s="3"/>
    </row>
    <row r="866" ht="14.25" customHeight="1">
      <c r="C866" s="3"/>
    </row>
    <row r="867" ht="14.25" customHeight="1">
      <c r="C867" s="3"/>
    </row>
    <row r="868" ht="14.25" customHeight="1">
      <c r="C868" s="3"/>
    </row>
    <row r="869" ht="14.25" customHeight="1">
      <c r="C869" s="3"/>
    </row>
    <row r="870" ht="14.25" customHeight="1">
      <c r="C870" s="3"/>
    </row>
    <row r="871" ht="14.25" customHeight="1">
      <c r="C871" s="3"/>
    </row>
    <row r="872" ht="14.25" customHeight="1">
      <c r="C872" s="3"/>
    </row>
    <row r="873" ht="14.25" customHeight="1">
      <c r="C873" s="3"/>
    </row>
    <row r="874" ht="14.25" customHeight="1">
      <c r="C874" s="3"/>
    </row>
    <row r="875" ht="14.25" customHeight="1">
      <c r="C875" s="3"/>
    </row>
    <row r="876" ht="14.25" customHeight="1">
      <c r="C876" s="3"/>
    </row>
    <row r="877" ht="14.25" customHeight="1">
      <c r="C877" s="3"/>
    </row>
    <row r="878" ht="14.25" customHeight="1">
      <c r="C878" s="3"/>
    </row>
    <row r="879" ht="14.25" customHeight="1">
      <c r="C879" s="3"/>
    </row>
    <row r="880" ht="14.25" customHeight="1">
      <c r="C880" s="3"/>
    </row>
    <row r="881" ht="14.25" customHeight="1">
      <c r="C881" s="3"/>
    </row>
    <row r="882" ht="14.25" customHeight="1">
      <c r="C882" s="3"/>
    </row>
    <row r="883" ht="14.25" customHeight="1">
      <c r="C883" s="3"/>
    </row>
    <row r="884" ht="14.25" customHeight="1">
      <c r="C884" s="3"/>
    </row>
    <row r="885" ht="14.25" customHeight="1">
      <c r="C885" s="3"/>
    </row>
    <row r="886" ht="14.25" customHeight="1">
      <c r="C886" s="3"/>
    </row>
    <row r="887" ht="14.25" customHeight="1">
      <c r="C887" s="3"/>
    </row>
    <row r="888" ht="14.25" customHeight="1">
      <c r="C888" s="3"/>
    </row>
    <row r="889" ht="14.25" customHeight="1">
      <c r="C889" s="3"/>
    </row>
    <row r="890" ht="14.25" customHeight="1">
      <c r="C890" s="3"/>
    </row>
    <row r="891" ht="14.25" customHeight="1">
      <c r="C891" s="3"/>
    </row>
    <row r="892" ht="14.25" customHeight="1">
      <c r="C892" s="3"/>
    </row>
    <row r="893" ht="14.25" customHeight="1">
      <c r="C893" s="3"/>
    </row>
    <row r="894" ht="14.25" customHeight="1">
      <c r="C894" s="3"/>
    </row>
    <row r="895" ht="14.25" customHeight="1">
      <c r="C895" s="3"/>
    </row>
    <row r="896" ht="14.25" customHeight="1">
      <c r="C896" s="3"/>
    </row>
    <row r="897" ht="14.25" customHeight="1">
      <c r="C897" s="3"/>
    </row>
    <row r="898" ht="14.25" customHeight="1">
      <c r="C898" s="3"/>
    </row>
    <row r="899" ht="14.25" customHeight="1">
      <c r="C899" s="3"/>
    </row>
    <row r="900" ht="14.25" customHeight="1">
      <c r="C900" s="3"/>
    </row>
    <row r="901" ht="14.25" customHeight="1">
      <c r="C901" s="3"/>
    </row>
    <row r="902" ht="14.25" customHeight="1">
      <c r="C902" s="3"/>
    </row>
    <row r="903" ht="14.25" customHeight="1">
      <c r="C903" s="3"/>
    </row>
    <row r="904" ht="14.25" customHeight="1">
      <c r="C904" s="3"/>
    </row>
    <row r="905" ht="14.25" customHeight="1">
      <c r="C905" s="3"/>
    </row>
    <row r="906" ht="14.25" customHeight="1">
      <c r="C906" s="3"/>
    </row>
    <row r="907" ht="14.25" customHeight="1">
      <c r="C907" s="3"/>
    </row>
    <row r="908" ht="14.25" customHeight="1">
      <c r="C908" s="3"/>
    </row>
    <row r="909" ht="14.25" customHeight="1">
      <c r="C909" s="3"/>
    </row>
    <row r="910" ht="14.25" customHeight="1">
      <c r="C910" s="3"/>
    </row>
    <row r="911" ht="14.25" customHeight="1">
      <c r="C911" s="3"/>
    </row>
    <row r="912" ht="14.25" customHeight="1">
      <c r="C912" s="3"/>
    </row>
    <row r="913" ht="14.25" customHeight="1">
      <c r="C913" s="3"/>
    </row>
    <row r="914" ht="14.25" customHeight="1">
      <c r="C914" s="3"/>
    </row>
    <row r="915" ht="14.25" customHeight="1">
      <c r="C915" s="3"/>
    </row>
    <row r="916" ht="14.25" customHeight="1">
      <c r="C916" s="3"/>
    </row>
    <row r="917" ht="14.25" customHeight="1">
      <c r="C917" s="3"/>
    </row>
    <row r="918" ht="14.25" customHeight="1">
      <c r="C918" s="3"/>
    </row>
    <row r="919" ht="14.25" customHeight="1">
      <c r="C919" s="3"/>
    </row>
    <row r="920" ht="14.25" customHeight="1">
      <c r="C920" s="3"/>
    </row>
    <row r="921" ht="14.25" customHeight="1">
      <c r="C921" s="3"/>
    </row>
    <row r="922" ht="14.25" customHeight="1">
      <c r="C922" s="3"/>
    </row>
    <row r="923" ht="14.25" customHeight="1">
      <c r="C923" s="3"/>
    </row>
    <row r="924" ht="14.25" customHeight="1">
      <c r="C924" s="3"/>
    </row>
    <row r="925" ht="14.25" customHeight="1">
      <c r="C925" s="3"/>
    </row>
    <row r="926" ht="14.25" customHeight="1">
      <c r="C926" s="3"/>
    </row>
    <row r="927" ht="14.25" customHeight="1">
      <c r="C927" s="3"/>
    </row>
    <row r="928" ht="14.25" customHeight="1">
      <c r="C928" s="3"/>
    </row>
    <row r="929" ht="14.25" customHeight="1">
      <c r="C929" s="3"/>
    </row>
    <row r="930" ht="14.25" customHeight="1">
      <c r="C930" s="3"/>
    </row>
    <row r="931" ht="14.25" customHeight="1">
      <c r="C931" s="3"/>
    </row>
    <row r="932" ht="14.25" customHeight="1">
      <c r="C932" s="3"/>
    </row>
    <row r="933" ht="14.25" customHeight="1">
      <c r="C933" s="3"/>
    </row>
    <row r="934" ht="14.25" customHeight="1">
      <c r="C934" s="3"/>
    </row>
    <row r="935" ht="14.25" customHeight="1">
      <c r="C935" s="3"/>
    </row>
    <row r="936" ht="14.25" customHeight="1">
      <c r="C936" s="3"/>
    </row>
    <row r="937" ht="14.25" customHeight="1">
      <c r="C937" s="3"/>
    </row>
    <row r="938" ht="14.25" customHeight="1">
      <c r="C938" s="3"/>
    </row>
    <row r="939" ht="14.25" customHeight="1">
      <c r="C939" s="3"/>
    </row>
    <row r="940" ht="14.25" customHeight="1">
      <c r="C940" s="3"/>
    </row>
    <row r="941" ht="14.25" customHeight="1">
      <c r="C941" s="3"/>
    </row>
    <row r="942" ht="14.25" customHeight="1">
      <c r="C942" s="3"/>
    </row>
    <row r="943" ht="14.25" customHeight="1">
      <c r="C943" s="3"/>
    </row>
    <row r="944" ht="14.25" customHeight="1">
      <c r="C944" s="3"/>
    </row>
    <row r="945" ht="14.25" customHeight="1">
      <c r="C945" s="3"/>
    </row>
    <row r="946" ht="14.25" customHeight="1">
      <c r="C946" s="3"/>
    </row>
    <row r="947" ht="14.25" customHeight="1">
      <c r="C947" s="3"/>
    </row>
    <row r="948" ht="14.25" customHeight="1">
      <c r="C948" s="3"/>
    </row>
    <row r="949" ht="14.25" customHeight="1">
      <c r="C949" s="3"/>
    </row>
    <row r="950" ht="14.25" customHeight="1">
      <c r="C950" s="3"/>
    </row>
    <row r="951" ht="14.25" customHeight="1">
      <c r="C951" s="3"/>
    </row>
    <row r="952" ht="14.25" customHeight="1">
      <c r="C952" s="3"/>
    </row>
    <row r="953" ht="14.25" customHeight="1">
      <c r="C953" s="3"/>
    </row>
    <row r="954" ht="14.25" customHeight="1">
      <c r="C954" s="3"/>
    </row>
    <row r="955" ht="14.25" customHeight="1">
      <c r="C955" s="3"/>
    </row>
    <row r="956" ht="14.25" customHeight="1">
      <c r="C956" s="3"/>
    </row>
    <row r="957" ht="14.25" customHeight="1">
      <c r="C957" s="3"/>
    </row>
    <row r="958" ht="14.25" customHeight="1">
      <c r="C958" s="3"/>
    </row>
    <row r="959" ht="14.25" customHeight="1">
      <c r="C959" s="3"/>
    </row>
    <row r="960" ht="14.25" customHeight="1">
      <c r="C960" s="3"/>
    </row>
    <row r="961" ht="14.25" customHeight="1">
      <c r="C961" s="3"/>
    </row>
    <row r="962" ht="14.25" customHeight="1">
      <c r="C962" s="3"/>
    </row>
    <row r="963" ht="14.25" customHeight="1">
      <c r="C963" s="3"/>
    </row>
    <row r="964" ht="14.25" customHeight="1">
      <c r="C964" s="3"/>
    </row>
    <row r="965" ht="14.25" customHeight="1">
      <c r="C965" s="3"/>
    </row>
    <row r="966" ht="14.25" customHeight="1">
      <c r="C966" s="3"/>
    </row>
    <row r="967" ht="14.25" customHeight="1">
      <c r="C967" s="3"/>
    </row>
    <row r="968" ht="14.25" customHeight="1">
      <c r="C968" s="3"/>
    </row>
    <row r="969" ht="14.25" customHeight="1">
      <c r="C969" s="3"/>
    </row>
    <row r="970" ht="14.25" customHeight="1">
      <c r="C970" s="3"/>
    </row>
    <row r="971" ht="14.25" customHeight="1">
      <c r="C971" s="3"/>
    </row>
    <row r="972" ht="14.25" customHeight="1">
      <c r="C972" s="3"/>
    </row>
    <row r="973" ht="14.25" customHeight="1">
      <c r="C973" s="3"/>
    </row>
    <row r="974" ht="14.25" customHeight="1">
      <c r="C974" s="3"/>
    </row>
    <row r="975" ht="14.25" customHeight="1">
      <c r="C975" s="3"/>
    </row>
    <row r="976" ht="14.25" customHeight="1">
      <c r="C976" s="3"/>
    </row>
    <row r="977" ht="14.25" customHeight="1">
      <c r="C977" s="3"/>
    </row>
    <row r="978" ht="14.25" customHeight="1">
      <c r="C978" s="3"/>
    </row>
    <row r="979" ht="14.25" customHeight="1">
      <c r="C979" s="3"/>
    </row>
    <row r="980" ht="14.25" customHeight="1">
      <c r="C980" s="3"/>
    </row>
    <row r="981" ht="14.25" customHeight="1">
      <c r="C981" s="3"/>
    </row>
    <row r="982" ht="14.25" customHeight="1">
      <c r="C982" s="3"/>
    </row>
    <row r="983" ht="14.25" customHeight="1">
      <c r="C983" s="3"/>
    </row>
    <row r="984" ht="14.25" customHeight="1">
      <c r="C984" s="3"/>
    </row>
    <row r="985" ht="14.25" customHeight="1">
      <c r="C985" s="3"/>
    </row>
    <row r="986" ht="14.25" customHeight="1">
      <c r="C986" s="3"/>
    </row>
    <row r="987" ht="14.25" customHeight="1">
      <c r="C987" s="3"/>
    </row>
    <row r="988" ht="14.25" customHeight="1">
      <c r="C988" s="3"/>
    </row>
    <row r="989" ht="14.25" customHeight="1">
      <c r="C989" s="3"/>
    </row>
    <row r="990" ht="14.25" customHeight="1">
      <c r="C990" s="3"/>
    </row>
    <row r="991" ht="14.25" customHeight="1">
      <c r="C991" s="3"/>
    </row>
    <row r="992" ht="14.25" customHeight="1">
      <c r="C992" s="3"/>
    </row>
    <row r="993" ht="14.25" customHeight="1">
      <c r="C993" s="3"/>
    </row>
    <row r="994" ht="14.25" customHeight="1">
      <c r="C994" s="3"/>
    </row>
    <row r="995" ht="14.25" customHeight="1">
      <c r="C995" s="3"/>
    </row>
    <row r="996" ht="14.25" customHeight="1">
      <c r="C996" s="3"/>
    </row>
    <row r="997" ht="14.25" customHeight="1">
      <c r="C997" s="3"/>
    </row>
    <row r="998" ht="14.25" customHeight="1">
      <c r="C998" s="3"/>
    </row>
    <row r="999" ht="14.25" customHeight="1">
      <c r="C999" s="3"/>
    </row>
    <row r="1000" ht="14.25" customHeight="1">
      <c r="C1000" s="3"/>
    </row>
  </sheetData>
  <mergeCells count="1">
    <mergeCell ref="E25:J2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topLeftCell="H1" activePane="topRight" state="frozen"/>
      <selection activeCell="I2" sqref="I2" pane="topRight"/>
    </sheetView>
  </sheetViews>
  <sheetFormatPr customHeight="1" defaultColWidth="12.63" defaultRowHeight="15.0"/>
  <cols>
    <col customWidth="1" min="1" max="1" width="26.88"/>
    <col customWidth="1" min="2" max="19" width="8.63"/>
    <col customWidth="1" min="20" max="20" width="8.88"/>
    <col customWidth="1" min="21" max="21" width="8.63"/>
    <col customWidth="1" min="22" max="22" width="10.13"/>
    <col customWidth="1" min="23" max="25" width="10.0"/>
    <col customWidth="1" min="26" max="26" width="9.5"/>
    <col customWidth="1" min="27" max="27" width="16.0"/>
    <col customWidth="1" min="28" max="28" width="13.63"/>
    <col customWidth="1" min="29" max="29" width="8.88"/>
    <col customWidth="1" min="30" max="35" width="8.63"/>
    <col customWidth="1" min="36" max="36" width="16.0"/>
    <col customWidth="1" min="37" max="37" width="13.63"/>
    <col customWidth="1" min="38" max="38" width="8.88"/>
    <col customWidth="1" min="39" max="39" width="8.63"/>
    <col customWidth="1" min="40" max="40" width="9.88"/>
    <col customWidth="1" min="41" max="44" width="9.5"/>
    <col customWidth="1" min="45" max="45" width="16.0"/>
    <col customWidth="1" min="46" max="46" width="13.63"/>
    <col customWidth="1" min="47" max="47" width="8.88"/>
    <col customWidth="1" min="48" max="53" width="8.63"/>
    <col customWidth="1" min="54" max="54" width="21.0"/>
    <col customWidth="1" min="55" max="55" width="8.88"/>
    <col customWidth="1" min="56" max="61" width="8.63"/>
    <col customWidth="1" min="62" max="62" width="21.0"/>
    <col customWidth="1" min="63" max="63" width="8.88"/>
    <col customWidth="1" min="64" max="69" width="8.63"/>
    <col customWidth="1" min="70" max="70" width="21.0"/>
    <col customWidth="1" min="71" max="71" width="8.88"/>
    <col customWidth="1" min="72" max="77" width="8.63"/>
    <col customWidth="1" min="78" max="78" width="21.0"/>
    <col customWidth="1" min="79" max="81" width="8.63"/>
  </cols>
  <sheetData>
    <row r="1" ht="14.25" customHeight="1">
      <c r="T1" s="3"/>
      <c r="AA1" s="4"/>
      <c r="AB1" s="4"/>
      <c r="AC1" s="3"/>
      <c r="AK1" s="4"/>
      <c r="AL1" s="3"/>
      <c r="AS1" s="4"/>
      <c r="AT1" s="4"/>
      <c r="AU1" s="3"/>
      <c r="BB1" s="4"/>
      <c r="BC1" s="3"/>
      <c r="BJ1" s="4"/>
      <c r="BK1" s="3"/>
      <c r="BR1" s="4"/>
      <c r="BS1" s="3"/>
      <c r="BZ1" s="4"/>
    </row>
    <row r="2" ht="14.25" customHeight="1">
      <c r="T2" s="3"/>
      <c r="AA2" s="4"/>
      <c r="AB2" s="4"/>
      <c r="AC2" s="3"/>
      <c r="AK2" s="4"/>
      <c r="AL2" s="3"/>
      <c r="AS2" s="4"/>
      <c r="AT2" s="4"/>
      <c r="AU2" s="3"/>
      <c r="BB2" s="4"/>
      <c r="BC2" s="3"/>
      <c r="BJ2" s="4"/>
      <c r="BK2" s="3"/>
      <c r="BR2" s="4"/>
      <c r="BS2" s="3"/>
      <c r="BZ2" s="4"/>
    </row>
    <row r="3" ht="14.25" customHeight="1">
      <c r="T3" s="3"/>
      <c r="AA3" s="4"/>
      <c r="AB3" s="4"/>
      <c r="AC3" s="3"/>
      <c r="AK3" s="4"/>
      <c r="AL3" s="3"/>
      <c r="AS3" s="4"/>
      <c r="AT3" s="4"/>
      <c r="AU3" s="3"/>
      <c r="BB3" s="4"/>
      <c r="BC3" s="3"/>
      <c r="BJ3" s="4"/>
      <c r="BK3" s="3"/>
      <c r="BR3" s="4"/>
      <c r="BS3" s="3"/>
      <c r="BZ3" s="4"/>
    </row>
    <row r="4" ht="14.25" customHeight="1">
      <c r="T4" s="3"/>
      <c r="AA4" s="4"/>
      <c r="AB4" s="4"/>
      <c r="AC4" s="3"/>
      <c r="AK4" s="4"/>
      <c r="AL4" s="3"/>
      <c r="AS4" s="4"/>
      <c r="AT4" s="4"/>
      <c r="AU4" s="3"/>
      <c r="BB4" s="4"/>
      <c r="BC4" s="3"/>
      <c r="BJ4" s="4"/>
      <c r="BK4" s="3"/>
      <c r="BR4" s="4"/>
      <c r="BS4" s="3"/>
      <c r="BZ4" s="4"/>
    </row>
    <row r="5" ht="14.25" customHeight="1">
      <c r="T5" s="3"/>
      <c r="AA5" s="4"/>
      <c r="AB5" s="4"/>
      <c r="AC5" s="3"/>
      <c r="AK5" s="4"/>
      <c r="AL5" s="3"/>
      <c r="AS5" s="4"/>
      <c r="AT5" s="4"/>
      <c r="AU5" s="3"/>
      <c r="BB5" s="4"/>
      <c r="BC5" s="3"/>
      <c r="BJ5" s="4"/>
      <c r="BK5" s="3"/>
      <c r="BR5" s="4"/>
      <c r="BS5" s="3"/>
      <c r="BZ5" s="4"/>
    </row>
    <row r="6" ht="14.25" customHeight="1">
      <c r="A6" s="14" t="s">
        <v>7</v>
      </c>
      <c r="B6" s="3" t="s">
        <v>22</v>
      </c>
      <c r="H6" s="3" t="s">
        <v>23</v>
      </c>
      <c r="N6" s="3" t="s">
        <v>2</v>
      </c>
      <c r="T6" s="3"/>
      <c r="V6" s="3" t="s">
        <v>24</v>
      </c>
      <c r="AA6" s="4"/>
      <c r="AB6" s="4"/>
      <c r="AC6" s="3"/>
      <c r="AE6" s="3" t="s">
        <v>25</v>
      </c>
      <c r="AK6" s="4"/>
      <c r="AL6" s="3"/>
      <c r="AN6" s="3" t="s">
        <v>26</v>
      </c>
      <c r="AS6" s="4"/>
      <c r="AT6" s="4"/>
      <c r="AU6" s="3"/>
      <c r="AW6" s="3" t="s">
        <v>27</v>
      </c>
      <c r="BB6" s="4"/>
      <c r="BC6" s="3"/>
      <c r="BE6" s="3" t="s">
        <v>28</v>
      </c>
      <c r="BJ6" s="4"/>
      <c r="BK6" s="3"/>
      <c r="BM6" s="1" t="s">
        <v>29</v>
      </c>
      <c r="BR6" s="4"/>
      <c r="BS6" s="3"/>
      <c r="BU6" s="1" t="s">
        <v>31</v>
      </c>
      <c r="BZ6" s="4"/>
    </row>
    <row r="7" ht="14.25" customHeight="1">
      <c r="A7" s="1" t="s">
        <v>32</v>
      </c>
      <c r="B7" s="1">
        <v>2018.0</v>
      </c>
      <c r="C7" s="1">
        <f t="shared" ref="C7:G7" si="1">+B7+1</f>
        <v>2019</v>
      </c>
      <c r="D7" s="1">
        <f t="shared" si="1"/>
        <v>2020</v>
      </c>
      <c r="E7" s="1">
        <f t="shared" si="1"/>
        <v>2021</v>
      </c>
      <c r="F7" s="1">
        <f t="shared" si="1"/>
        <v>2022</v>
      </c>
      <c r="G7" s="1">
        <f t="shared" si="1"/>
        <v>2023</v>
      </c>
      <c r="H7" s="1">
        <v>2018.0</v>
      </c>
      <c r="I7" s="1">
        <f t="shared" ref="I7:M7" si="2">+H7+1</f>
        <v>2019</v>
      </c>
      <c r="J7" s="1">
        <f t="shared" si="2"/>
        <v>2020</v>
      </c>
      <c r="K7" s="1">
        <f t="shared" si="2"/>
        <v>2021</v>
      </c>
      <c r="L7" s="1">
        <f t="shared" si="2"/>
        <v>2022</v>
      </c>
      <c r="M7" s="1">
        <f t="shared" si="2"/>
        <v>2023</v>
      </c>
      <c r="N7" s="1">
        <v>2018.0</v>
      </c>
      <c r="O7" s="1">
        <f t="shared" ref="O7:S7" si="3">+N7+1</f>
        <v>2019</v>
      </c>
      <c r="P7" s="1">
        <f t="shared" si="3"/>
        <v>2020</v>
      </c>
      <c r="Q7" s="1">
        <f t="shared" si="3"/>
        <v>2021</v>
      </c>
      <c r="R7" s="1">
        <f t="shared" si="3"/>
        <v>2022</v>
      </c>
      <c r="S7" s="1">
        <f t="shared" si="3"/>
        <v>2023</v>
      </c>
      <c r="T7" s="3"/>
      <c r="U7" s="1" t="s">
        <v>32</v>
      </c>
      <c r="V7" s="1">
        <v>2019.0</v>
      </c>
      <c r="W7" s="1">
        <f t="shared" ref="W7:Z7" si="4">+V7+1</f>
        <v>2020</v>
      </c>
      <c r="X7" s="1">
        <f t="shared" si="4"/>
        <v>2021</v>
      </c>
      <c r="Y7" s="1">
        <f t="shared" si="4"/>
        <v>2022</v>
      </c>
      <c r="Z7" s="1">
        <f t="shared" si="4"/>
        <v>2023</v>
      </c>
      <c r="AA7" s="6" t="s">
        <v>45</v>
      </c>
      <c r="AB7" s="4" t="s">
        <v>46</v>
      </c>
      <c r="AC7" s="3"/>
      <c r="AD7" s="1" t="s">
        <v>32</v>
      </c>
      <c r="AE7" s="1">
        <v>2019.0</v>
      </c>
      <c r="AF7" s="1">
        <f t="shared" ref="AF7:AI7" si="5">+AE7+1</f>
        <v>2020</v>
      </c>
      <c r="AG7" s="1">
        <f t="shared" si="5"/>
        <v>2021</v>
      </c>
      <c r="AH7" s="1">
        <f t="shared" si="5"/>
        <v>2022</v>
      </c>
      <c r="AI7" s="1">
        <f t="shared" si="5"/>
        <v>2023</v>
      </c>
      <c r="AJ7" s="6" t="s">
        <v>45</v>
      </c>
      <c r="AK7" s="4" t="s">
        <v>46</v>
      </c>
      <c r="AL7" s="3"/>
      <c r="AM7" s="1" t="s">
        <v>32</v>
      </c>
      <c r="AN7" s="1">
        <v>2019.0</v>
      </c>
      <c r="AO7" s="1">
        <f t="shared" ref="AO7:AR7" si="6">+AN7+1</f>
        <v>2020</v>
      </c>
      <c r="AP7" s="1">
        <f t="shared" si="6"/>
        <v>2021</v>
      </c>
      <c r="AQ7" s="1">
        <f t="shared" si="6"/>
        <v>2022</v>
      </c>
      <c r="AR7" s="1">
        <f t="shared" si="6"/>
        <v>2023</v>
      </c>
      <c r="AS7" s="6" t="s">
        <v>45</v>
      </c>
      <c r="AT7" s="4" t="s">
        <v>46</v>
      </c>
      <c r="AU7" s="3"/>
      <c r="AV7" s="1" t="s">
        <v>32</v>
      </c>
      <c r="AW7" s="1">
        <v>2019.0</v>
      </c>
      <c r="AX7" s="1">
        <f t="shared" ref="AX7:BA7" si="7">+AW7+1</f>
        <v>2020</v>
      </c>
      <c r="AY7" s="1">
        <f t="shared" si="7"/>
        <v>2021</v>
      </c>
      <c r="AZ7" s="1">
        <f t="shared" si="7"/>
        <v>2022</v>
      </c>
      <c r="BA7" s="1">
        <f t="shared" si="7"/>
        <v>2023</v>
      </c>
      <c r="BB7" s="6" t="s">
        <v>45</v>
      </c>
      <c r="BC7" s="3"/>
      <c r="BD7" s="1" t="s">
        <v>32</v>
      </c>
      <c r="BE7" s="1">
        <v>2019.0</v>
      </c>
      <c r="BF7" s="1">
        <f t="shared" ref="BF7:BI7" si="8">+BE7+1</f>
        <v>2020</v>
      </c>
      <c r="BG7" s="1">
        <f t="shared" si="8"/>
        <v>2021</v>
      </c>
      <c r="BH7" s="1">
        <f t="shared" si="8"/>
        <v>2022</v>
      </c>
      <c r="BI7" s="1">
        <f t="shared" si="8"/>
        <v>2023</v>
      </c>
      <c r="BJ7" s="6" t="s">
        <v>45</v>
      </c>
      <c r="BK7" s="3"/>
      <c r="BL7" s="1" t="s">
        <v>32</v>
      </c>
      <c r="BM7" s="1">
        <v>2019.0</v>
      </c>
      <c r="BN7" s="1">
        <f t="shared" ref="BN7:BQ7" si="9">+BM7+1</f>
        <v>2020</v>
      </c>
      <c r="BO7" s="1">
        <f t="shared" si="9"/>
        <v>2021</v>
      </c>
      <c r="BP7" s="1">
        <f t="shared" si="9"/>
        <v>2022</v>
      </c>
      <c r="BQ7" s="1">
        <f t="shared" si="9"/>
        <v>2023</v>
      </c>
      <c r="BR7" s="6" t="s">
        <v>45</v>
      </c>
      <c r="BS7" s="3"/>
      <c r="BT7" s="1" t="s">
        <v>32</v>
      </c>
      <c r="BU7" s="1">
        <v>2019.0</v>
      </c>
      <c r="BV7" s="1">
        <f t="shared" ref="BV7:BY7" si="10">+BU7+1</f>
        <v>2020</v>
      </c>
      <c r="BW7" s="1">
        <f t="shared" si="10"/>
        <v>2021</v>
      </c>
      <c r="BX7" s="1">
        <f t="shared" si="10"/>
        <v>2022</v>
      </c>
      <c r="BY7" s="1">
        <f t="shared" si="10"/>
        <v>2023</v>
      </c>
      <c r="BZ7" s="6" t="s">
        <v>45</v>
      </c>
    </row>
    <row r="8" ht="14.25" customHeight="1">
      <c r="A8" s="8" t="s">
        <v>9</v>
      </c>
      <c r="B8" s="17">
        <v>16631.0</v>
      </c>
      <c r="C8" s="17">
        <v>18341.0</v>
      </c>
      <c r="D8" s="17">
        <v>13752.0</v>
      </c>
      <c r="E8" s="17">
        <v>17389.0</v>
      </c>
      <c r="F8" s="17">
        <v>18861.0</v>
      </c>
      <c r="G8" s="17">
        <v>17560.0</v>
      </c>
      <c r="H8" s="17">
        <v>131366.0</v>
      </c>
      <c r="I8" s="17">
        <v>123720.0</v>
      </c>
      <c r="J8" s="17">
        <v>120628.0</v>
      </c>
      <c r="K8" s="17">
        <v>126613.0</v>
      </c>
      <c r="L8" s="17">
        <v>151169.0</v>
      </c>
      <c r="M8" s="17">
        <v>135024.0</v>
      </c>
      <c r="N8" s="12">
        <v>2.76E9</v>
      </c>
      <c r="O8" s="12">
        <v>2.69E9</v>
      </c>
      <c r="P8" s="12">
        <v>2.72E9</v>
      </c>
      <c r="Q8" s="12">
        <v>2.97E9</v>
      </c>
      <c r="R8" s="12">
        <v>2.83E9</v>
      </c>
      <c r="S8" s="12">
        <v>3.04E9</v>
      </c>
      <c r="T8" s="3"/>
      <c r="U8" s="1" t="s">
        <v>32</v>
      </c>
      <c r="V8" s="19">
        <f t="shared" ref="V8:Z8" si="11">(C33+I33)/(O8)*100</f>
        <v>5.44829119</v>
      </c>
      <c r="W8" s="19">
        <f t="shared" si="11"/>
        <v>4.921819779</v>
      </c>
      <c r="X8" s="19">
        <f t="shared" si="11"/>
        <v>5.648614108</v>
      </c>
      <c r="Y8" s="19">
        <f t="shared" si="11"/>
        <v>6.487727668</v>
      </c>
      <c r="Z8" s="19">
        <f t="shared" si="11"/>
        <v>5.449387105</v>
      </c>
      <c r="AA8" s="26">
        <f t="shared" ref="AA8:AA18" si="19">(Z8/V8)^(1/($Z$7-$V$7))-1</f>
        <v>0.00005028333554</v>
      </c>
      <c r="AB8" s="10">
        <f t="shared" ref="AB8:AB17" si="20">RANK(Z8,$Z$8:$Z$29,0)</f>
        <v>6</v>
      </c>
      <c r="AC8" s="3"/>
      <c r="AD8" s="8" t="s">
        <v>9</v>
      </c>
      <c r="AE8" s="27">
        <f t="shared" ref="AE8:AI8" si="12">(C8-B8)/B8</f>
        <v>0.1028200349</v>
      </c>
      <c r="AF8" s="27">
        <f t="shared" si="12"/>
        <v>-0.25020446</v>
      </c>
      <c r="AG8" s="27">
        <f t="shared" si="12"/>
        <v>0.2644706225</v>
      </c>
      <c r="AH8" s="27">
        <f t="shared" si="12"/>
        <v>0.08465121629</v>
      </c>
      <c r="AI8" s="27">
        <f t="shared" si="12"/>
        <v>-0.06897831504</v>
      </c>
      <c r="AJ8" s="28">
        <f t="shared" ref="AJ8:AJ18" si="22">(G8/B8)^(1/($G$7-$B$7))-1</f>
        <v>0.01093033729</v>
      </c>
      <c r="AK8" s="10">
        <f t="shared" ref="AK8:AK17" si="23">RANK(AI8,$AI$8:$AI$29,0)</f>
        <v>9</v>
      </c>
      <c r="AL8" s="3"/>
      <c r="AM8" s="29" t="s">
        <v>9</v>
      </c>
      <c r="AN8" s="25">
        <f t="shared" ref="AN8:AR8" si="13">(C8/C$18)*100</f>
        <v>0.05927458904</v>
      </c>
      <c r="AO8" s="25">
        <f t="shared" si="13"/>
        <v>0.05145676489</v>
      </c>
      <c r="AP8" s="25">
        <f t="shared" si="13"/>
        <v>0.05510660334</v>
      </c>
      <c r="AQ8" s="25">
        <f t="shared" si="13"/>
        <v>0.05525712302</v>
      </c>
      <c r="AR8" s="25">
        <f t="shared" si="13"/>
        <v>0.05267823686</v>
      </c>
      <c r="AS8" s="26">
        <f t="shared" ref="AS8:AS17" si="25">(AR8/AN8)^(1/($Z$7-$V$7))-1</f>
        <v>-0.02906385296</v>
      </c>
      <c r="AT8" s="10">
        <f t="shared" ref="AT8:AT17" si="26">RANK(AR8,$AR$8:$AR$29,0)</f>
        <v>10</v>
      </c>
      <c r="AU8" s="3"/>
      <c r="AV8" s="29" t="s">
        <v>9</v>
      </c>
      <c r="AW8" s="25">
        <f t="shared" ref="AW8:BA8" si="14">(C8/C$18)/(C33/C$43)</f>
        <v>0.1449658704</v>
      </c>
      <c r="AX8" s="25">
        <f t="shared" si="14"/>
        <v>0.1520382114</v>
      </c>
      <c r="AY8" s="25">
        <f t="shared" si="14"/>
        <v>0.1326538543</v>
      </c>
      <c r="AZ8" s="25">
        <f t="shared" si="14"/>
        <v>0.1206534142</v>
      </c>
      <c r="BA8" s="25">
        <f t="shared" si="14"/>
        <v>0.1219900823</v>
      </c>
      <c r="BB8" s="26">
        <f t="shared" ref="BB8:BB18" si="28">(BA8/AW8)^(1/($Z$7-$V$7))-1</f>
        <v>-0.0422223704</v>
      </c>
      <c r="BC8" s="3"/>
      <c r="BD8" s="29" t="s">
        <v>9</v>
      </c>
      <c r="BE8" s="25">
        <f t="shared" ref="BE8:BI8" si="15">1-(ABS(C8-I8)/(C8+I8))</f>
        <v>0.2582130212</v>
      </c>
      <c r="BF8" s="25">
        <f t="shared" si="15"/>
        <v>0.2046733145</v>
      </c>
      <c r="BG8" s="25">
        <f t="shared" si="15"/>
        <v>0.2415105346</v>
      </c>
      <c r="BH8" s="25">
        <f t="shared" si="15"/>
        <v>0.2218549668</v>
      </c>
      <c r="BI8" s="25">
        <f t="shared" si="15"/>
        <v>0.2301683007</v>
      </c>
      <c r="BJ8" s="26">
        <f t="shared" ref="BJ8:BJ18" si="30">(BI8/BE8)^(1/($Z$7-$V$7))-1</f>
        <v>-0.02833436538</v>
      </c>
      <c r="BK8" s="3"/>
      <c r="BL8" s="29" t="s">
        <v>9</v>
      </c>
      <c r="BM8" s="30">
        <f t="shared" ref="BM8:BQ8" si="16">+H58</f>
        <v>0.517</v>
      </c>
      <c r="BN8" s="30">
        <f t="shared" si="16"/>
        <v>0.516</v>
      </c>
      <c r="BO8" s="30">
        <f t="shared" si="16"/>
        <v>0.522</v>
      </c>
      <c r="BP8" s="30">
        <f t="shared" si="16"/>
        <v>0.518</v>
      </c>
      <c r="BQ8" s="30">
        <f t="shared" si="16"/>
        <v>0.511</v>
      </c>
      <c r="BR8" s="26">
        <f t="shared" ref="BR8:BR17" si="32">(BQ8/BM8)^(1/($Z$7-$V$7))-1</f>
        <v>-0.002914066917</v>
      </c>
      <c r="BS8" s="3"/>
      <c r="BT8" s="29" t="s">
        <v>9</v>
      </c>
      <c r="BU8" s="25">
        <f t="shared" ref="BU8:BY8" si="17">+C58</f>
        <v>0.134</v>
      </c>
      <c r="BV8" s="25">
        <f t="shared" si="17"/>
        <v>0.127</v>
      </c>
      <c r="BW8" s="25">
        <f t="shared" si="17"/>
        <v>0.128</v>
      </c>
      <c r="BX8" s="25">
        <f t="shared" si="17"/>
        <v>0.126</v>
      </c>
      <c r="BY8" s="25">
        <f t="shared" si="17"/>
        <v>0.119</v>
      </c>
      <c r="BZ8" s="26">
        <f t="shared" ref="BZ8:BZ18" si="34">(BY8/BU8)^(1/($Z$7-$V$7))-1</f>
        <v>-0.0292429779</v>
      </c>
      <c r="CA8" s="19"/>
    </row>
    <row r="9" ht="14.25" customHeight="1">
      <c r="A9" s="8" t="s">
        <v>10</v>
      </c>
      <c r="B9" s="17">
        <v>1066042.0</v>
      </c>
      <c r="C9" s="17">
        <v>1059057.0</v>
      </c>
      <c r="D9" s="17">
        <v>878941.0</v>
      </c>
      <c r="E9" s="17">
        <v>1004891.0</v>
      </c>
      <c r="F9" s="17">
        <v>1231581.0</v>
      </c>
      <c r="G9" s="17">
        <v>1334873.0</v>
      </c>
      <c r="H9" s="17">
        <v>1664986.0</v>
      </c>
      <c r="I9" s="17">
        <v>1638563.0</v>
      </c>
      <c r="J9" s="17">
        <v>1391493.0</v>
      </c>
      <c r="K9" s="17">
        <v>1614638.0</v>
      </c>
      <c r="L9" s="18">
        <v>1765925.0</v>
      </c>
      <c r="M9" s="17">
        <v>1686774.0</v>
      </c>
      <c r="N9" s="12">
        <v>2.79E10</v>
      </c>
      <c r="O9" s="12">
        <v>2.73E10</v>
      </c>
      <c r="P9" s="12">
        <v>2.65E10</v>
      </c>
      <c r="Q9" s="12">
        <v>2.96E10</v>
      </c>
      <c r="R9" s="12">
        <v>2.78E10</v>
      </c>
      <c r="S9" s="12">
        <v>3.04E10</v>
      </c>
      <c r="T9" s="3"/>
      <c r="U9" s="8" t="s">
        <v>9</v>
      </c>
      <c r="V9" s="19">
        <f t="shared" ref="V9:Z9" si="18">(C34+I34)/(O9)*100</f>
        <v>4.391941392</v>
      </c>
      <c r="W9" s="19">
        <f t="shared" si="18"/>
        <v>4.033962264</v>
      </c>
      <c r="X9" s="19">
        <f t="shared" si="18"/>
        <v>4.39527027</v>
      </c>
      <c r="Y9" s="19">
        <f t="shared" si="18"/>
        <v>5.169064748</v>
      </c>
      <c r="Z9" s="19">
        <f t="shared" si="18"/>
        <v>4.661184211</v>
      </c>
      <c r="AA9" s="26">
        <f t="shared" si="19"/>
        <v>0.0149857212</v>
      </c>
      <c r="AB9" s="10">
        <f t="shared" si="20"/>
        <v>8</v>
      </c>
      <c r="AC9" s="3"/>
      <c r="AD9" s="8" t="s">
        <v>10</v>
      </c>
      <c r="AE9" s="27">
        <f t="shared" ref="AE9:AI9" si="21">(C9-B9)/B9</f>
        <v>-0.006552274676</v>
      </c>
      <c r="AF9" s="27">
        <f t="shared" si="21"/>
        <v>-0.1700720547</v>
      </c>
      <c r="AG9" s="27">
        <f t="shared" si="21"/>
        <v>0.1432974454</v>
      </c>
      <c r="AH9" s="27">
        <f t="shared" si="21"/>
        <v>0.2255866557</v>
      </c>
      <c r="AI9" s="27">
        <f t="shared" si="21"/>
        <v>0.08386943287</v>
      </c>
      <c r="AJ9" s="28">
        <f t="shared" si="22"/>
        <v>0.04600347344</v>
      </c>
      <c r="AK9" s="10">
        <f t="shared" si="23"/>
        <v>3</v>
      </c>
      <c r="AL9" s="3"/>
      <c r="AM9" s="29" t="s">
        <v>10</v>
      </c>
      <c r="AN9" s="25">
        <f t="shared" ref="AN9:AR9" si="24">(C9/C$18)*100</f>
        <v>3.422668799</v>
      </c>
      <c r="AO9" s="25">
        <f t="shared" si="24"/>
        <v>3.288791477</v>
      </c>
      <c r="AP9" s="25">
        <f t="shared" si="24"/>
        <v>3.184549413</v>
      </c>
      <c r="AQ9" s="25">
        <f t="shared" si="24"/>
        <v>3.608166206</v>
      </c>
      <c r="AR9" s="25">
        <f t="shared" si="24"/>
        <v>4.00448497</v>
      </c>
      <c r="AS9" s="26">
        <f t="shared" si="25"/>
        <v>0.04002899702</v>
      </c>
      <c r="AT9" s="10">
        <f t="shared" si="26"/>
        <v>4</v>
      </c>
      <c r="AU9" s="3"/>
      <c r="AV9" s="29" t="s">
        <v>10</v>
      </c>
      <c r="AW9" s="25">
        <f t="shared" ref="AW9:BA9" si="27">(C9/C$18)/(C34/C$43)</f>
        <v>1.096610309</v>
      </c>
      <c r="AX9" s="25">
        <f t="shared" si="27"/>
        <v>1.30640192</v>
      </c>
      <c r="AY9" s="25">
        <f t="shared" si="27"/>
        <v>1.067990469</v>
      </c>
      <c r="AZ9" s="25">
        <f t="shared" si="27"/>
        <v>1.09925621</v>
      </c>
      <c r="BA9" s="25">
        <f t="shared" si="27"/>
        <v>1.196383606</v>
      </c>
      <c r="BB9" s="26">
        <f t="shared" si="28"/>
        <v>0.02200855755</v>
      </c>
      <c r="BC9" s="3"/>
      <c r="BD9" s="29" t="s">
        <v>10</v>
      </c>
      <c r="BE9" s="25">
        <f t="shared" ref="BE9:BI9" si="29">1-(ABS(C9-I9)/(C9+I9))</f>
        <v>0.7851787872</v>
      </c>
      <c r="BF9" s="25">
        <f t="shared" si="29"/>
        <v>0.7742493285</v>
      </c>
      <c r="BG9" s="25">
        <f t="shared" si="29"/>
        <v>0.7672302922</v>
      </c>
      <c r="BH9" s="25">
        <f t="shared" si="29"/>
        <v>0.8217371375</v>
      </c>
      <c r="BI9" s="25">
        <f t="shared" si="29"/>
        <v>0.8835400032</v>
      </c>
      <c r="BJ9" s="26">
        <f t="shared" si="30"/>
        <v>0.02994590416</v>
      </c>
      <c r="BK9" s="3"/>
      <c r="BL9" s="29" t="s">
        <v>10</v>
      </c>
      <c r="BM9" s="30">
        <f t="shared" ref="BM9:BQ9" si="31">+H59</f>
        <v>0.333</v>
      </c>
      <c r="BN9" s="30">
        <f t="shared" si="31"/>
        <v>0.335</v>
      </c>
      <c r="BO9" s="30">
        <f t="shared" si="31"/>
        <v>0.33</v>
      </c>
      <c r="BP9" s="30">
        <f t="shared" si="31"/>
        <v>0.329</v>
      </c>
      <c r="BQ9" s="30">
        <f t="shared" si="31"/>
        <v>0.332</v>
      </c>
      <c r="BR9" s="26">
        <f t="shared" si="32"/>
        <v>-0.0007515976749</v>
      </c>
      <c r="BS9" s="3"/>
      <c r="BT9" s="29" t="s">
        <v>10</v>
      </c>
      <c r="BU9" s="25">
        <f t="shared" ref="BU9:BY9" si="33">+C59</f>
        <v>0.093</v>
      </c>
      <c r="BV9" s="25">
        <f t="shared" si="33"/>
        <v>0.08</v>
      </c>
      <c r="BW9" s="25">
        <f t="shared" si="33"/>
        <v>0.068</v>
      </c>
      <c r="BX9" s="25">
        <f t="shared" si="33"/>
        <v>0.065</v>
      </c>
      <c r="BY9" s="25">
        <f t="shared" si="33"/>
        <v>0.07</v>
      </c>
      <c r="BZ9" s="26">
        <f t="shared" si="34"/>
        <v>-0.06856238404</v>
      </c>
      <c r="CA9" s="19"/>
    </row>
    <row r="10" ht="14.25" customHeight="1">
      <c r="A10" s="8" t="s">
        <v>13</v>
      </c>
      <c r="B10" s="17">
        <v>1235367.0</v>
      </c>
      <c r="C10" s="17">
        <v>1242332.0</v>
      </c>
      <c r="D10" s="17">
        <v>1150003.0</v>
      </c>
      <c r="E10" s="17">
        <v>1331890.0</v>
      </c>
      <c r="F10" s="17">
        <v>1384510.0</v>
      </c>
      <c r="G10" s="17">
        <v>1365252.0</v>
      </c>
      <c r="H10" s="17">
        <v>2165479.0</v>
      </c>
      <c r="I10" s="17">
        <v>2076944.0</v>
      </c>
      <c r="J10" s="17">
        <v>1974367.0</v>
      </c>
      <c r="K10" s="17">
        <v>2225359.0</v>
      </c>
      <c r="L10" s="17">
        <v>2483835.0</v>
      </c>
      <c r="M10" s="17">
        <v>2144477.0</v>
      </c>
      <c r="N10" s="12">
        <v>3.97E10</v>
      </c>
      <c r="O10" s="12">
        <v>3.89E10</v>
      </c>
      <c r="P10" s="12">
        <v>3.89E10</v>
      </c>
      <c r="Q10" s="12">
        <v>4.28E10</v>
      </c>
      <c r="R10" s="12">
        <v>4.08E10</v>
      </c>
      <c r="S10" s="12">
        <v>4.46E10</v>
      </c>
      <c r="T10" s="3"/>
      <c r="U10" s="8" t="s">
        <v>10</v>
      </c>
      <c r="V10" s="19">
        <f t="shared" ref="V10:Z10" si="35">(C35+I35)/(O10)*100</f>
        <v>7.017994859</v>
      </c>
      <c r="W10" s="19">
        <f t="shared" si="35"/>
        <v>6.580976864</v>
      </c>
      <c r="X10" s="19">
        <f t="shared" si="35"/>
        <v>7.14953271</v>
      </c>
      <c r="Y10" s="19">
        <f t="shared" si="35"/>
        <v>8.039215686</v>
      </c>
      <c r="Z10" s="19">
        <f t="shared" si="35"/>
        <v>7.107623318</v>
      </c>
      <c r="AA10" s="26">
        <f t="shared" si="19"/>
        <v>0.003177630571</v>
      </c>
      <c r="AB10" s="10">
        <f t="shared" si="20"/>
        <v>2</v>
      </c>
      <c r="AC10" s="3"/>
      <c r="AD10" s="8" t="s">
        <v>13</v>
      </c>
      <c r="AE10" s="27">
        <f t="shared" ref="AE10:AI10" si="36">(C10-B10)/B10</f>
        <v>0.005638000691</v>
      </c>
      <c r="AF10" s="27">
        <f t="shared" si="36"/>
        <v>-0.07431910311</v>
      </c>
      <c r="AG10" s="27">
        <f t="shared" si="36"/>
        <v>0.1581621961</v>
      </c>
      <c r="AH10" s="27">
        <f t="shared" si="36"/>
        <v>0.03950776716</v>
      </c>
      <c r="AI10" s="27">
        <f t="shared" si="36"/>
        <v>-0.01390961423</v>
      </c>
      <c r="AJ10" s="28">
        <f t="shared" si="22"/>
        <v>0.02019540962</v>
      </c>
      <c r="AK10" s="10">
        <f t="shared" si="23"/>
        <v>6</v>
      </c>
      <c r="AL10" s="3"/>
      <c r="AM10" s="29" t="s">
        <v>13</v>
      </c>
      <c r="AN10" s="25">
        <f t="shared" ref="AN10:AR10" si="37">(C10/C$18)*100</f>
        <v>4.014978396</v>
      </c>
      <c r="AO10" s="25">
        <f t="shared" si="37"/>
        <v>4.303042029</v>
      </c>
      <c r="AP10" s="25">
        <f t="shared" si="37"/>
        <v>4.22082546</v>
      </c>
      <c r="AQ10" s="25">
        <f t="shared" si="37"/>
        <v>4.056202714</v>
      </c>
      <c r="AR10" s="25">
        <f t="shared" si="37"/>
        <v>4.09561892</v>
      </c>
      <c r="AS10" s="26">
        <f t="shared" si="25"/>
        <v>0.004983848202</v>
      </c>
      <c r="AT10" s="10">
        <f t="shared" si="26"/>
        <v>3</v>
      </c>
      <c r="AU10" s="3"/>
      <c r="AV10" s="29" t="s">
        <v>13</v>
      </c>
      <c r="AW10" s="25">
        <f t="shared" ref="AW10:BA10" si="38">(C10/C$18)/(C35/C$43)</f>
        <v>0.480019836</v>
      </c>
      <c r="AX10" s="25">
        <f t="shared" si="38"/>
        <v>0.6000964831</v>
      </c>
      <c r="AY10" s="25">
        <f t="shared" si="38"/>
        <v>0.5049272351</v>
      </c>
      <c r="AZ10" s="25">
        <f t="shared" si="38"/>
        <v>0.4518911281</v>
      </c>
      <c r="BA10" s="25">
        <f t="shared" si="38"/>
        <v>0.4606535035</v>
      </c>
      <c r="BB10" s="26">
        <f t="shared" si="28"/>
        <v>-0.01024250633</v>
      </c>
      <c r="BC10" s="3"/>
      <c r="BD10" s="29" t="s">
        <v>13</v>
      </c>
      <c r="BE10" s="25">
        <f t="shared" ref="BE10:BI10" si="39">1-(ABS(C10-I10)/(C10+I10))</f>
        <v>0.7485560104</v>
      </c>
      <c r="BF10" s="25">
        <f t="shared" si="39"/>
        <v>0.7361503279</v>
      </c>
      <c r="BG10" s="25">
        <f t="shared" si="39"/>
        <v>0.7488314706</v>
      </c>
      <c r="BH10" s="25">
        <f t="shared" si="39"/>
        <v>0.7158151613</v>
      </c>
      <c r="BI10" s="25">
        <f t="shared" si="39"/>
        <v>0.7779814339</v>
      </c>
      <c r="BJ10" s="26">
        <f t="shared" si="30"/>
        <v>0.009685763489</v>
      </c>
      <c r="BK10" s="3"/>
      <c r="BL10" s="29" t="s">
        <v>13</v>
      </c>
      <c r="BM10" s="30">
        <f t="shared" ref="BM10:BQ10" si="40">+H60</f>
        <v>0.311</v>
      </c>
      <c r="BN10" s="30">
        <f t="shared" si="40"/>
        <v>0.304</v>
      </c>
      <c r="BO10" s="30">
        <f t="shared" si="40"/>
        <v>0.293</v>
      </c>
      <c r="BP10" s="30">
        <f t="shared" si="40"/>
        <v>0.303</v>
      </c>
      <c r="BQ10" s="30">
        <f t="shared" si="40"/>
        <v>0.325</v>
      </c>
      <c r="BR10" s="26">
        <f t="shared" si="32"/>
        <v>0.01106887925</v>
      </c>
      <c r="BS10" s="3"/>
      <c r="BT10" s="29" t="s">
        <v>13</v>
      </c>
      <c r="BU10" s="25">
        <f t="shared" ref="BU10:BY10" si="41">+C60</f>
        <v>0.091</v>
      </c>
      <c r="BV10" s="25">
        <f t="shared" si="41"/>
        <v>0.085</v>
      </c>
      <c r="BW10" s="25">
        <f t="shared" si="41"/>
        <v>0.082</v>
      </c>
      <c r="BX10" s="25">
        <f t="shared" si="41"/>
        <v>0.088</v>
      </c>
      <c r="BY10" s="25">
        <f t="shared" si="41"/>
        <v>0.097</v>
      </c>
      <c r="BZ10" s="26">
        <f t="shared" si="34"/>
        <v>0.01609095521</v>
      </c>
      <c r="CA10" s="19"/>
    </row>
    <row r="11" ht="14.25" customHeight="1">
      <c r="A11" s="8" t="s">
        <v>14</v>
      </c>
      <c r="B11" s="17">
        <v>190.0</v>
      </c>
      <c r="C11" s="17">
        <v>233.0</v>
      </c>
      <c r="D11" s="17">
        <v>248.0</v>
      </c>
      <c r="E11" s="17">
        <v>371.0</v>
      </c>
      <c r="F11" s="17">
        <v>354.0</v>
      </c>
      <c r="G11" s="17">
        <v>402.0</v>
      </c>
      <c r="H11" s="17">
        <v>14753.0</v>
      </c>
      <c r="I11" s="17">
        <v>13412.0</v>
      </c>
      <c r="J11" s="17">
        <v>13906.0</v>
      </c>
      <c r="K11" s="17">
        <v>19345.0</v>
      </c>
      <c r="L11" s="17">
        <v>20930.0</v>
      </c>
      <c r="M11" s="17">
        <v>19783.0</v>
      </c>
      <c r="N11" s="12">
        <v>2.63E8</v>
      </c>
      <c r="O11" s="12">
        <v>2.47E8</v>
      </c>
      <c r="P11" s="12">
        <v>2.16E8</v>
      </c>
      <c r="Q11" s="12">
        <v>2.56E8</v>
      </c>
      <c r="R11" s="12">
        <v>2.81E8</v>
      </c>
      <c r="S11" s="12">
        <v>3.04E8</v>
      </c>
      <c r="T11" s="3"/>
      <c r="U11" s="8" t="s">
        <v>13</v>
      </c>
      <c r="V11" s="19">
        <f t="shared" ref="V11:Z11" si="42">(C36+I36)/(O11)*100</f>
        <v>4.780309717</v>
      </c>
      <c r="W11" s="19">
        <f t="shared" si="42"/>
        <v>4.757914352</v>
      </c>
      <c r="X11" s="19">
        <f t="shared" si="42"/>
        <v>5.395240234</v>
      </c>
      <c r="Y11" s="19">
        <f t="shared" si="42"/>
        <v>6.066811388</v>
      </c>
      <c r="Z11" s="19">
        <f t="shared" si="42"/>
        <v>5.354503618</v>
      </c>
      <c r="AA11" s="26">
        <f t="shared" si="19"/>
        <v>0.02876408726</v>
      </c>
      <c r="AB11" s="10">
        <f t="shared" si="20"/>
        <v>7</v>
      </c>
      <c r="AC11" s="3"/>
      <c r="AD11" s="8" t="s">
        <v>14</v>
      </c>
      <c r="AE11" s="27">
        <f t="shared" ref="AE11:AI11" si="43">(C11-B11)/B11</f>
        <v>0.2263157895</v>
      </c>
      <c r="AF11" s="27">
        <f t="shared" si="43"/>
        <v>0.0643776824</v>
      </c>
      <c r="AG11" s="27">
        <f t="shared" si="43"/>
        <v>0.4959677419</v>
      </c>
      <c r="AH11" s="27">
        <f t="shared" si="43"/>
        <v>-0.04582210243</v>
      </c>
      <c r="AI11" s="27">
        <f t="shared" si="43"/>
        <v>0.1355932203</v>
      </c>
      <c r="AJ11" s="28">
        <f t="shared" si="22"/>
        <v>0.1617013403</v>
      </c>
      <c r="AK11" s="10">
        <f t="shared" si="23"/>
        <v>2</v>
      </c>
      <c r="AL11" s="3"/>
      <c r="AM11" s="29" t="s">
        <v>14</v>
      </c>
      <c r="AN11" s="25">
        <f t="shared" ref="AN11:AR11" si="44">(C11/C$18)*100</f>
        <v>0.0007530112451</v>
      </c>
      <c r="AO11" s="25">
        <f t="shared" si="44"/>
        <v>0.0009279579473</v>
      </c>
      <c r="AP11" s="25">
        <f t="shared" si="44"/>
        <v>0.001175717398</v>
      </c>
      <c r="AQ11" s="25">
        <f t="shared" si="44"/>
        <v>0.001037114763</v>
      </c>
      <c r="AR11" s="25">
        <f t="shared" si="44"/>
        <v>0.001205959637</v>
      </c>
      <c r="AS11" s="26">
        <f t="shared" si="25"/>
        <v>0.1249489835</v>
      </c>
      <c r="AT11" s="10">
        <f t="shared" si="26"/>
        <v>11</v>
      </c>
      <c r="AU11" s="3"/>
      <c r="AV11" s="29" t="s">
        <v>14</v>
      </c>
      <c r="AW11" s="25">
        <f t="shared" ref="AW11:BA11" si="45">(C11/C$18)/(C36/C$43)</f>
        <v>0.02565654281</v>
      </c>
      <c r="AX11" s="25">
        <f t="shared" si="45"/>
        <v>0.0392720671</v>
      </c>
      <c r="AY11" s="25">
        <f t="shared" si="45"/>
        <v>0.03861283253</v>
      </c>
      <c r="AZ11" s="25">
        <f t="shared" si="45"/>
        <v>0.02637382877</v>
      </c>
      <c r="BA11" s="25">
        <f t="shared" si="45"/>
        <v>0.03387242811</v>
      </c>
      <c r="BB11" s="26">
        <f t="shared" si="28"/>
        <v>0.0719191966</v>
      </c>
      <c r="BC11" s="3"/>
      <c r="BD11" s="29" t="s">
        <v>14</v>
      </c>
      <c r="BE11" s="25">
        <f t="shared" ref="BE11:BI11" si="46">1-(ABS(C11-I11)/(C11+I11))</f>
        <v>0.03415170392</v>
      </c>
      <c r="BF11" s="25">
        <f t="shared" si="46"/>
        <v>0.03504309736</v>
      </c>
      <c r="BG11" s="25">
        <f t="shared" si="46"/>
        <v>0.0376344086</v>
      </c>
      <c r="BH11" s="25">
        <f t="shared" si="46"/>
        <v>0.03326442398</v>
      </c>
      <c r="BI11" s="25">
        <f t="shared" si="46"/>
        <v>0.03983155809</v>
      </c>
      <c r="BJ11" s="26">
        <f t="shared" si="30"/>
        <v>0.03921098685</v>
      </c>
      <c r="BK11" s="3"/>
      <c r="BL11" s="29" t="s">
        <v>14</v>
      </c>
      <c r="BM11" s="30">
        <f t="shared" ref="BM11:BQ11" si="47">+H61</f>
        <v>0.793</v>
      </c>
      <c r="BN11" s="30">
        <f t="shared" si="47"/>
        <v>0.793</v>
      </c>
      <c r="BO11" s="30">
        <f t="shared" si="47"/>
        <v>0.824</v>
      </c>
      <c r="BP11" s="30">
        <f t="shared" si="47"/>
        <v>0.8</v>
      </c>
      <c r="BQ11" s="30">
        <f t="shared" si="47"/>
        <v>0.783</v>
      </c>
      <c r="BR11" s="26">
        <f t="shared" si="32"/>
        <v>-0.003167603934</v>
      </c>
      <c r="BS11" s="3"/>
      <c r="BT11" s="29" t="s">
        <v>14</v>
      </c>
      <c r="BU11" s="25">
        <f t="shared" ref="BU11:BY11" si="48">+C61</f>
        <v>0.442</v>
      </c>
      <c r="BV11" s="25">
        <f t="shared" si="48"/>
        <v>0.466</v>
      </c>
      <c r="BW11" s="25">
        <f t="shared" si="48"/>
        <v>0.48</v>
      </c>
      <c r="BX11" s="25">
        <f t="shared" si="48"/>
        <v>0.466</v>
      </c>
      <c r="BY11" s="25">
        <f t="shared" si="48"/>
        <v>0.432</v>
      </c>
      <c r="BZ11" s="26">
        <f t="shared" si="34"/>
        <v>-0.005704739282</v>
      </c>
      <c r="CA11" s="19"/>
    </row>
    <row r="12" ht="14.25" customHeight="1">
      <c r="A12" s="8" t="s">
        <v>16</v>
      </c>
      <c r="B12" s="17">
        <v>2309922.0</v>
      </c>
      <c r="C12" s="17">
        <v>2346768.0</v>
      </c>
      <c r="D12" s="17">
        <v>2128995.0</v>
      </c>
      <c r="E12" s="17">
        <v>2537671.0</v>
      </c>
      <c r="F12" s="17">
        <v>2564253.0</v>
      </c>
      <c r="G12" s="17">
        <v>2526168.0</v>
      </c>
      <c r="H12" s="17">
        <v>947446.0</v>
      </c>
      <c r="I12" s="17">
        <v>941968.0</v>
      </c>
      <c r="J12" s="17">
        <v>753652.0</v>
      </c>
      <c r="K12" s="17">
        <v>871162.0</v>
      </c>
      <c r="L12" s="17">
        <v>1005447.0</v>
      </c>
      <c r="M12" s="17">
        <v>1017704.0</v>
      </c>
      <c r="N12" s="12">
        <v>2.09E10</v>
      </c>
      <c r="O12" s="12">
        <v>2.01E10</v>
      </c>
      <c r="P12" s="12">
        <v>1.9E10</v>
      </c>
      <c r="Q12" s="12">
        <v>2.16E10</v>
      </c>
      <c r="R12" s="12">
        <v>2.05E10</v>
      </c>
      <c r="S12" s="12">
        <v>2.23E10</v>
      </c>
      <c r="T12" s="3"/>
      <c r="U12" s="8" t="s">
        <v>14</v>
      </c>
      <c r="V12" s="19">
        <f t="shared" ref="V12:Z12" si="49">(C37+I37)/(O12)*100</f>
        <v>5.039800995</v>
      </c>
      <c r="W12" s="19">
        <f t="shared" si="49"/>
        <v>4.868421053</v>
      </c>
      <c r="X12" s="19">
        <f t="shared" si="49"/>
        <v>5.481481481</v>
      </c>
      <c r="Y12" s="19">
        <f t="shared" si="49"/>
        <v>6.604878049</v>
      </c>
      <c r="Z12" s="19">
        <f t="shared" si="49"/>
        <v>5.905829596</v>
      </c>
      <c r="AA12" s="26">
        <f t="shared" si="19"/>
        <v>0.04043961807</v>
      </c>
      <c r="AB12" s="10">
        <f t="shared" si="20"/>
        <v>4</v>
      </c>
      <c r="AC12" s="3"/>
      <c r="AD12" s="8" t="s">
        <v>16</v>
      </c>
      <c r="AE12" s="27">
        <f t="shared" ref="AE12:AI12" si="50">(C12-B12)/B12</f>
        <v>0.01595118796</v>
      </c>
      <c r="AF12" s="27">
        <f t="shared" si="50"/>
        <v>-0.09279698718</v>
      </c>
      <c r="AG12" s="27">
        <f t="shared" si="50"/>
        <v>0.191957238</v>
      </c>
      <c r="AH12" s="27">
        <f t="shared" si="50"/>
        <v>0.01047495913</v>
      </c>
      <c r="AI12" s="27">
        <f t="shared" si="50"/>
        <v>-0.01485227862</v>
      </c>
      <c r="AJ12" s="28">
        <f t="shared" si="22"/>
        <v>0.0180590827</v>
      </c>
      <c r="AK12" s="32">
        <f t="shared" si="23"/>
        <v>7</v>
      </c>
      <c r="AL12" s="3"/>
      <c r="AM12" s="29" t="s">
        <v>16</v>
      </c>
      <c r="AN12" s="25">
        <f t="shared" ref="AN12:AR12" si="51">(C12/C$18)*100</f>
        <v>7.584303406</v>
      </c>
      <c r="AO12" s="25">
        <f t="shared" si="51"/>
        <v>7.966200928</v>
      </c>
      <c r="AP12" s="25">
        <f t="shared" si="51"/>
        <v>8.042005245</v>
      </c>
      <c r="AQ12" s="25">
        <f t="shared" si="51"/>
        <v>7.512498991</v>
      </c>
      <c r="AR12" s="25">
        <f t="shared" si="51"/>
        <v>7.578250356</v>
      </c>
      <c r="AS12" s="26">
        <f t="shared" si="25"/>
        <v>-0.0001995853288</v>
      </c>
      <c r="AT12" s="10">
        <f t="shared" si="26"/>
        <v>2</v>
      </c>
      <c r="AU12" s="3"/>
      <c r="AV12" s="29" t="s">
        <v>16</v>
      </c>
      <c r="AW12" s="25">
        <f t="shared" ref="AW12:BA12" si="52">(C12/C$18)/(C37/C$43)</f>
        <v>2.511283034</v>
      </c>
      <c r="AX12" s="25">
        <f t="shared" si="52"/>
        <v>3.094646197</v>
      </c>
      <c r="AY12" s="25">
        <f t="shared" si="52"/>
        <v>2.561290809</v>
      </c>
      <c r="AZ12" s="25">
        <f t="shared" si="52"/>
        <v>2.146346727</v>
      </c>
      <c r="BA12" s="25">
        <f t="shared" si="52"/>
        <v>2.140346265</v>
      </c>
      <c r="BB12" s="26">
        <f t="shared" si="28"/>
        <v>-0.03916880629</v>
      </c>
      <c r="BC12" s="3"/>
      <c r="BD12" s="29" t="s">
        <v>16</v>
      </c>
      <c r="BE12" s="25">
        <f t="shared" ref="BE12:BI12" si="53">1-(ABS(C12-I12)/(C12+I12))</f>
        <v>0.5728450079</v>
      </c>
      <c r="BF12" s="25">
        <f t="shared" si="53"/>
        <v>0.5228888587</v>
      </c>
      <c r="BG12" s="25">
        <f t="shared" si="53"/>
        <v>0.5111203746</v>
      </c>
      <c r="BH12" s="25">
        <f t="shared" si="53"/>
        <v>0.5633229683</v>
      </c>
      <c r="BI12" s="25">
        <f t="shared" si="53"/>
        <v>0.5743458003</v>
      </c>
      <c r="BJ12" s="26">
        <f t="shared" si="30"/>
        <v>0.0006543306349</v>
      </c>
      <c r="BK12" s="3"/>
      <c r="BL12" s="29" t="s">
        <v>16</v>
      </c>
      <c r="BM12" s="30">
        <f t="shared" ref="BM12:BQ12" si="54">+H62</f>
        <v>0.357</v>
      </c>
      <c r="BN12" s="30">
        <f t="shared" si="54"/>
        <v>0.355</v>
      </c>
      <c r="BO12" s="30">
        <f t="shared" si="54"/>
        <v>0.345</v>
      </c>
      <c r="BP12" s="30">
        <f t="shared" si="54"/>
        <v>0.353</v>
      </c>
      <c r="BQ12" s="30">
        <f t="shared" si="54"/>
        <v>0.366</v>
      </c>
      <c r="BR12" s="26">
        <f t="shared" si="32"/>
        <v>0.006243799662</v>
      </c>
      <c r="BS12" s="3"/>
      <c r="BT12" s="29" t="s">
        <v>16</v>
      </c>
      <c r="BU12" s="25">
        <f t="shared" ref="BU12:BY12" si="55">+C62</f>
        <v>0.056</v>
      </c>
      <c r="BV12" s="25">
        <f t="shared" si="55"/>
        <v>0.058</v>
      </c>
      <c r="BW12" s="25">
        <f t="shared" si="55"/>
        <v>0.053</v>
      </c>
      <c r="BX12" s="25">
        <f t="shared" si="55"/>
        <v>0.06</v>
      </c>
      <c r="BY12" s="25">
        <f t="shared" si="55"/>
        <v>0.062</v>
      </c>
      <c r="BZ12" s="26">
        <f t="shared" si="34"/>
        <v>0.02577217822</v>
      </c>
      <c r="CA12" s="19"/>
    </row>
    <row r="13" ht="14.25" customHeight="1">
      <c r="A13" s="8" t="s">
        <v>17</v>
      </c>
      <c r="B13" s="17">
        <v>441646.0</v>
      </c>
      <c r="C13" s="17">
        <v>391782.0</v>
      </c>
      <c r="D13" s="17">
        <v>295092.0</v>
      </c>
      <c r="E13" s="17">
        <v>375671.0</v>
      </c>
      <c r="F13" s="17">
        <v>396316.0</v>
      </c>
      <c r="G13" s="17">
        <v>419105.0</v>
      </c>
      <c r="H13" s="17">
        <v>684383.0</v>
      </c>
      <c r="I13" s="17">
        <v>674709.0</v>
      </c>
      <c r="J13" s="17">
        <v>524195.0</v>
      </c>
      <c r="K13" s="17">
        <v>618840.0</v>
      </c>
      <c r="L13" s="18">
        <v>726883.0</v>
      </c>
      <c r="M13" s="17">
        <v>686366.0</v>
      </c>
      <c r="N13" s="12">
        <v>1.42E10</v>
      </c>
      <c r="O13" s="12">
        <v>1.39E10</v>
      </c>
      <c r="P13" s="12">
        <v>1.28E10</v>
      </c>
      <c r="Q13" s="12">
        <v>1.45E10</v>
      </c>
      <c r="R13" s="12">
        <v>1.42E10</v>
      </c>
      <c r="S13" s="12">
        <v>1.6E10</v>
      </c>
      <c r="T13" s="3"/>
      <c r="U13" s="8" t="s">
        <v>16</v>
      </c>
      <c r="V13" s="19">
        <f t="shared" ref="V13:Z13" si="56">(C38+I38)/(O13)*100</f>
        <v>5.122302158</v>
      </c>
      <c r="W13" s="19">
        <f t="shared" si="56"/>
        <v>5.015625</v>
      </c>
      <c r="X13" s="19">
        <f t="shared" si="56"/>
        <v>5.64137931</v>
      </c>
      <c r="Y13" s="19">
        <f t="shared" si="56"/>
        <v>6.5</v>
      </c>
      <c r="Z13" s="19">
        <f t="shared" si="56"/>
        <v>5.55625</v>
      </c>
      <c r="AA13" s="26">
        <f t="shared" si="19"/>
        <v>0.02053791966</v>
      </c>
      <c r="AB13" s="10">
        <f t="shared" si="20"/>
        <v>5</v>
      </c>
      <c r="AC13" s="3"/>
      <c r="AD13" s="8" t="s">
        <v>17</v>
      </c>
      <c r="AE13" s="27">
        <f t="shared" ref="AE13:AI13" si="57">(C13-B13)/B13</f>
        <v>-0.1129049057</v>
      </c>
      <c r="AF13" s="27">
        <f t="shared" si="57"/>
        <v>-0.2467954117</v>
      </c>
      <c r="AG13" s="27">
        <f t="shared" si="57"/>
        <v>0.2730639936</v>
      </c>
      <c r="AH13" s="27">
        <f t="shared" si="57"/>
        <v>0.05495500052</v>
      </c>
      <c r="AI13" s="27">
        <f t="shared" si="57"/>
        <v>0.05750209429</v>
      </c>
      <c r="AJ13" s="28">
        <f t="shared" si="22"/>
        <v>-0.01042273708</v>
      </c>
      <c r="AK13" s="10">
        <f t="shared" si="23"/>
        <v>4</v>
      </c>
      <c r="AL13" s="3"/>
      <c r="AM13" s="29" t="s">
        <v>17</v>
      </c>
      <c r="AN13" s="25">
        <f t="shared" ref="AN13:AR13" si="58">(C13/C$18)*100</f>
        <v>1.26616417</v>
      </c>
      <c r="AO13" s="25">
        <f t="shared" si="58"/>
        <v>1.104165188</v>
      </c>
      <c r="AP13" s="25">
        <f t="shared" si="58"/>
        <v>1.190520029</v>
      </c>
      <c r="AQ13" s="25">
        <f t="shared" si="58"/>
        <v>1.161088063</v>
      </c>
      <c r="AR13" s="25">
        <f t="shared" si="58"/>
        <v>1.257272919</v>
      </c>
      <c r="AS13" s="26">
        <f t="shared" si="25"/>
        <v>-0.001760190569</v>
      </c>
      <c r="AT13" s="10">
        <f t="shared" si="26"/>
        <v>6</v>
      </c>
      <c r="AU13" s="3"/>
      <c r="AV13" s="29" t="s">
        <v>17</v>
      </c>
      <c r="AW13" s="25">
        <f t="shared" ref="AW13:BA13" si="59">(C13/C$18)/(C38/C$43)</f>
        <v>0.6693023637</v>
      </c>
      <c r="AX13" s="25">
        <f t="shared" si="59"/>
        <v>0.6860246965</v>
      </c>
      <c r="AY13" s="25">
        <f t="shared" si="59"/>
        <v>0.5958348351</v>
      </c>
      <c r="AZ13" s="25">
        <f t="shared" si="59"/>
        <v>0.5155848792</v>
      </c>
      <c r="BA13" s="25">
        <f t="shared" si="59"/>
        <v>0.5723794462</v>
      </c>
      <c r="BB13" s="26">
        <f t="shared" si="28"/>
        <v>-0.03835358289</v>
      </c>
      <c r="BC13" s="3"/>
      <c r="BD13" s="29" t="s">
        <v>17</v>
      </c>
      <c r="BE13" s="25">
        <f t="shared" ref="BE13:BI13" si="60">1-(ABS(C13-I13)/(C13+I13))</f>
        <v>0.7347122479</v>
      </c>
      <c r="BF13" s="25">
        <f t="shared" si="60"/>
        <v>0.7203629497</v>
      </c>
      <c r="BG13" s="25">
        <f t="shared" si="60"/>
        <v>0.7554888785</v>
      </c>
      <c r="BH13" s="25">
        <f t="shared" si="60"/>
        <v>0.7056915115</v>
      </c>
      <c r="BI13" s="25">
        <f t="shared" si="60"/>
        <v>0.7582378914</v>
      </c>
      <c r="BJ13" s="26">
        <f t="shared" si="30"/>
        <v>0.007910688988</v>
      </c>
      <c r="BK13" s="3"/>
      <c r="BL13" s="29" t="s">
        <v>17</v>
      </c>
      <c r="BM13" s="30">
        <f t="shared" ref="BM13:BQ13" si="61">+H63</f>
        <v>0.341</v>
      </c>
      <c r="BN13" s="30">
        <f t="shared" si="61"/>
        <v>0.342</v>
      </c>
      <c r="BO13" s="30">
        <f t="shared" si="61"/>
        <v>0.358</v>
      </c>
      <c r="BP13" s="30">
        <f t="shared" si="61"/>
        <v>0.355</v>
      </c>
      <c r="BQ13" s="30">
        <f t="shared" si="61"/>
        <v>0.354</v>
      </c>
      <c r="BR13" s="26">
        <f t="shared" si="32"/>
        <v>0.009397490674</v>
      </c>
      <c r="BS13" s="3"/>
      <c r="BT13" s="29" t="s">
        <v>17</v>
      </c>
      <c r="BU13" s="25">
        <f t="shared" ref="BU13:BY13" si="62">+C63</f>
        <v>0.099</v>
      </c>
      <c r="BV13" s="25">
        <f t="shared" si="62"/>
        <v>0.099</v>
      </c>
      <c r="BW13" s="25">
        <f t="shared" si="62"/>
        <v>0.089</v>
      </c>
      <c r="BX13" s="25">
        <f t="shared" si="62"/>
        <v>0.09</v>
      </c>
      <c r="BY13" s="25">
        <f t="shared" si="62"/>
        <v>0.092</v>
      </c>
      <c r="BZ13" s="26">
        <f t="shared" si="34"/>
        <v>-0.01816579439</v>
      </c>
      <c r="CA13" s="19"/>
    </row>
    <row r="14" ht="14.25" customHeight="1">
      <c r="A14" s="8" t="s">
        <v>18</v>
      </c>
      <c r="B14" s="17">
        <v>133842.0</v>
      </c>
      <c r="C14" s="17">
        <v>151377.0</v>
      </c>
      <c r="D14" s="17">
        <v>152586.0</v>
      </c>
      <c r="E14" s="17">
        <v>188624.0</v>
      </c>
      <c r="F14" s="17">
        <v>203400.0</v>
      </c>
      <c r="G14" s="17">
        <v>206730.0</v>
      </c>
      <c r="H14" s="17">
        <v>283672.0</v>
      </c>
      <c r="I14" s="17">
        <v>283450.0</v>
      </c>
      <c r="J14" s="17">
        <v>253210.0</v>
      </c>
      <c r="K14" s="17">
        <v>324893.0</v>
      </c>
      <c r="L14" s="17">
        <v>344610.0</v>
      </c>
      <c r="M14" s="17">
        <v>311660.0</v>
      </c>
      <c r="N14" s="12">
        <v>5.55E9</v>
      </c>
      <c r="O14" s="12">
        <v>5.34E9</v>
      </c>
      <c r="P14" s="12">
        <v>5.47E9</v>
      </c>
      <c r="Q14" s="12">
        <v>6.4E9</v>
      </c>
      <c r="R14" s="12">
        <v>5.91E9</v>
      </c>
      <c r="S14" s="12">
        <v>5.9E9</v>
      </c>
      <c r="T14" s="3"/>
      <c r="U14" s="8" t="s">
        <v>17</v>
      </c>
      <c r="V14" s="19">
        <f t="shared" ref="V14:Z14" si="63">(C39+I39)/(O14)*100</f>
        <v>5.992509363</v>
      </c>
      <c r="W14" s="19">
        <f t="shared" si="63"/>
        <v>5.557586837</v>
      </c>
      <c r="X14" s="19">
        <f t="shared" si="63"/>
        <v>5.890625</v>
      </c>
      <c r="Y14" s="19">
        <f t="shared" si="63"/>
        <v>6.785109983</v>
      </c>
      <c r="Z14" s="19">
        <f t="shared" si="63"/>
        <v>6.627118644</v>
      </c>
      <c r="AA14" s="26">
        <f t="shared" si="19"/>
        <v>0.02548427719</v>
      </c>
      <c r="AB14" s="10">
        <f t="shared" si="20"/>
        <v>3</v>
      </c>
      <c r="AC14" s="3"/>
      <c r="AD14" s="8" t="s">
        <v>18</v>
      </c>
      <c r="AE14" s="27">
        <f t="shared" ref="AE14:AI14" si="64">(C14-B14)/B14</f>
        <v>0.1310126866</v>
      </c>
      <c r="AF14" s="27">
        <f t="shared" si="64"/>
        <v>0.007986682257</v>
      </c>
      <c r="AG14" s="27">
        <f t="shared" si="64"/>
        <v>0.2361815632</v>
      </c>
      <c r="AH14" s="27">
        <f t="shared" si="64"/>
        <v>0.0783357367</v>
      </c>
      <c r="AI14" s="27">
        <f t="shared" si="64"/>
        <v>0.01637168142</v>
      </c>
      <c r="AJ14" s="28">
        <f t="shared" si="22"/>
        <v>0.0908429204</v>
      </c>
      <c r="AK14" s="10">
        <f t="shared" si="23"/>
        <v>5</v>
      </c>
      <c r="AL14" s="3"/>
      <c r="AM14" s="29" t="s">
        <v>18</v>
      </c>
      <c r="AN14" s="25">
        <f t="shared" ref="AN14:AR14" si="65">(C14/C$18)*100</f>
        <v>0.4892213873</v>
      </c>
      <c r="AO14" s="25">
        <f t="shared" si="65"/>
        <v>0.5709410942</v>
      </c>
      <c r="AP14" s="25">
        <f t="shared" si="65"/>
        <v>0.5977588101</v>
      </c>
      <c r="AQ14" s="25">
        <f t="shared" si="65"/>
        <v>0.5959015334</v>
      </c>
      <c r="AR14" s="25">
        <f t="shared" si="65"/>
        <v>0.6201692429</v>
      </c>
      <c r="AS14" s="26">
        <f t="shared" si="25"/>
        <v>0.06108749708</v>
      </c>
      <c r="AT14" s="10">
        <f t="shared" si="26"/>
        <v>8</v>
      </c>
      <c r="AU14" s="3"/>
      <c r="AV14" s="29" t="s">
        <v>18</v>
      </c>
      <c r="AW14" s="25">
        <f t="shared" ref="AW14:BA14" si="66">(C14/C$18)/(C39/C$43)</f>
        <v>0.541304701</v>
      </c>
      <c r="AX14" s="25">
        <f t="shared" si="66"/>
        <v>0.714035655</v>
      </c>
      <c r="AY14" s="25">
        <f t="shared" si="66"/>
        <v>0.6172308661</v>
      </c>
      <c r="AZ14" s="25">
        <f t="shared" si="66"/>
        <v>0.566643852</v>
      </c>
      <c r="BA14" s="25">
        <f t="shared" si="66"/>
        <v>0.5988923875</v>
      </c>
      <c r="BB14" s="26">
        <f t="shared" si="28"/>
        <v>0.02559701584</v>
      </c>
      <c r="BC14" s="3"/>
      <c r="BD14" s="29" t="s">
        <v>18</v>
      </c>
      <c r="BE14" s="25">
        <f t="shared" ref="BE14:BI14" si="67">1-(ABS(C14-I14)/(C14+I14))</f>
        <v>0.6962631115</v>
      </c>
      <c r="BF14" s="25">
        <f t="shared" si="67"/>
        <v>0.7520330412</v>
      </c>
      <c r="BG14" s="25">
        <f t="shared" si="67"/>
        <v>0.7346358543</v>
      </c>
      <c r="BH14" s="25">
        <f t="shared" si="67"/>
        <v>0.7423222204</v>
      </c>
      <c r="BI14" s="25">
        <f t="shared" si="67"/>
        <v>0.79758483</v>
      </c>
      <c r="BJ14" s="26">
        <f t="shared" si="30"/>
        <v>0.03454854591</v>
      </c>
      <c r="BK14" s="3"/>
      <c r="BL14" s="29" t="s">
        <v>18</v>
      </c>
      <c r="BM14" s="30">
        <f t="shared" ref="BM14:BQ14" si="68">+H64</f>
        <v>0.361</v>
      </c>
      <c r="BN14" s="30">
        <f t="shared" si="68"/>
        <v>0.354</v>
      </c>
      <c r="BO14" s="30">
        <f t="shared" si="68"/>
        <v>0.347</v>
      </c>
      <c r="BP14" s="30">
        <f t="shared" si="68"/>
        <v>0.353</v>
      </c>
      <c r="BQ14" s="30">
        <f t="shared" si="68"/>
        <v>0.37</v>
      </c>
      <c r="BR14" s="26">
        <f t="shared" si="32"/>
        <v>0.006175250553</v>
      </c>
      <c r="BS14" s="3"/>
      <c r="BT14" s="29" t="s">
        <v>18</v>
      </c>
      <c r="BU14" s="25">
        <f t="shared" ref="BU14:BY14" si="69">+C64</f>
        <v>0.096</v>
      </c>
      <c r="BV14" s="25">
        <f t="shared" si="69"/>
        <v>0.093</v>
      </c>
      <c r="BW14" s="25">
        <f t="shared" si="69"/>
        <v>0.088</v>
      </c>
      <c r="BX14" s="25">
        <f t="shared" si="69"/>
        <v>0.092</v>
      </c>
      <c r="BY14" s="25">
        <f t="shared" si="69"/>
        <v>0.095</v>
      </c>
      <c r="BZ14" s="26">
        <f t="shared" si="34"/>
        <v>-0.002614401451</v>
      </c>
      <c r="CA14" s="19"/>
    </row>
    <row r="15" ht="14.25" customHeight="1">
      <c r="A15" s="8" t="s">
        <v>19</v>
      </c>
      <c r="B15" s="17">
        <v>86131.0</v>
      </c>
      <c r="C15" s="17">
        <v>82723.0</v>
      </c>
      <c r="D15" s="17">
        <v>78069.0</v>
      </c>
      <c r="E15" s="17">
        <v>90450.0</v>
      </c>
      <c r="F15" s="17">
        <v>84715.0</v>
      </c>
      <c r="G15" s="17">
        <v>106610.0</v>
      </c>
      <c r="H15" s="17">
        <v>355623.0</v>
      </c>
      <c r="I15" s="17">
        <v>347148.0</v>
      </c>
      <c r="J15" s="17">
        <v>338543.0</v>
      </c>
      <c r="K15" s="17">
        <v>392750.0</v>
      </c>
      <c r="L15" s="17">
        <v>394320.0</v>
      </c>
      <c r="M15" s="17">
        <v>403220.0</v>
      </c>
      <c r="N15" s="12">
        <v>7.26E9</v>
      </c>
      <c r="O15" s="12">
        <v>7.21E9</v>
      </c>
      <c r="P15" s="12">
        <v>7.42E9</v>
      </c>
      <c r="Q15" s="12">
        <v>8.13E9</v>
      </c>
      <c r="R15" s="12">
        <v>8.18E9</v>
      </c>
      <c r="S15" s="12">
        <v>8.87E9</v>
      </c>
      <c r="T15" s="3"/>
      <c r="U15" s="8" t="s">
        <v>18</v>
      </c>
      <c r="V15" s="19">
        <f t="shared" ref="V15:Z15" si="70">(C40+I40)/(O15)*100</f>
        <v>8.183079057</v>
      </c>
      <c r="W15" s="19">
        <f t="shared" si="70"/>
        <v>8.20754717</v>
      </c>
      <c r="X15" s="19">
        <f t="shared" si="70"/>
        <v>8.64698647</v>
      </c>
      <c r="Y15" s="19">
        <f t="shared" si="70"/>
        <v>9.24205379</v>
      </c>
      <c r="Z15" s="19">
        <f t="shared" si="70"/>
        <v>8.85005637</v>
      </c>
      <c r="AA15" s="26">
        <f t="shared" si="19"/>
        <v>0.01978195411</v>
      </c>
      <c r="AB15" s="10">
        <f t="shared" si="20"/>
        <v>1</v>
      </c>
      <c r="AC15" s="3"/>
      <c r="AD15" s="8" t="s">
        <v>19</v>
      </c>
      <c r="AE15" s="27">
        <f t="shared" ref="AE15:AI15" si="71">(C15-B15)/B15</f>
        <v>-0.03956763535</v>
      </c>
      <c r="AF15" s="27">
        <f t="shared" si="71"/>
        <v>-0.0562600486</v>
      </c>
      <c r="AG15" s="27">
        <f t="shared" si="71"/>
        <v>0.1585904777</v>
      </c>
      <c r="AH15" s="27">
        <f t="shared" si="71"/>
        <v>-0.06340519624</v>
      </c>
      <c r="AI15" s="27">
        <f t="shared" si="71"/>
        <v>0.2584548191</v>
      </c>
      <c r="AJ15" s="28">
        <f t="shared" si="22"/>
        <v>0.04358466994</v>
      </c>
      <c r="AK15" s="10">
        <f t="shared" si="23"/>
        <v>1</v>
      </c>
      <c r="AL15" s="3"/>
      <c r="AM15" s="29" t="s">
        <v>19</v>
      </c>
      <c r="AN15" s="25">
        <f t="shared" ref="AN15:AR15" si="72">(C15/C$18)*100</f>
        <v>0.2673448465</v>
      </c>
      <c r="AO15" s="25">
        <f t="shared" si="72"/>
        <v>0.2921159234</v>
      </c>
      <c r="AP15" s="25">
        <f t="shared" si="72"/>
        <v>0.2866405355</v>
      </c>
      <c r="AQ15" s="25">
        <f t="shared" si="72"/>
        <v>0.248189766</v>
      </c>
      <c r="AR15" s="25">
        <f t="shared" si="72"/>
        <v>0.3198192956</v>
      </c>
      <c r="AS15" s="26">
        <f t="shared" si="25"/>
        <v>0.04582305471</v>
      </c>
      <c r="AT15" s="10">
        <f t="shared" si="26"/>
        <v>9</v>
      </c>
      <c r="AU15" s="3"/>
      <c r="AV15" s="29" t="s">
        <v>19</v>
      </c>
      <c r="AW15" s="25">
        <f t="shared" ref="AW15:BA15" si="73">(C15/C$18)/(C40/C$43)</f>
        <v>0.151671649</v>
      </c>
      <c r="AX15" s="25">
        <f t="shared" si="73"/>
        <v>0.1775108248</v>
      </c>
      <c r="AY15" s="25">
        <f t="shared" si="73"/>
        <v>0.1479889405</v>
      </c>
      <c r="AZ15" s="25">
        <f t="shared" si="73"/>
        <v>0.1168220294</v>
      </c>
      <c r="BA15" s="25">
        <f t="shared" si="73"/>
        <v>0.1455992478</v>
      </c>
      <c r="BB15" s="26">
        <f t="shared" si="28"/>
        <v>-0.01016300674</v>
      </c>
      <c r="BC15" s="3"/>
      <c r="BD15" s="29" t="s">
        <v>19</v>
      </c>
      <c r="BE15" s="25">
        <f t="shared" ref="BE15:BI15" si="74">1-(ABS(C15-I15)/(C15+I15))</f>
        <v>0.3848736016</v>
      </c>
      <c r="BF15" s="25">
        <f t="shared" si="74"/>
        <v>0.3747803712</v>
      </c>
      <c r="BG15" s="25">
        <f t="shared" si="74"/>
        <v>0.3743791391</v>
      </c>
      <c r="BH15" s="25">
        <f t="shared" si="74"/>
        <v>0.3536902314</v>
      </c>
      <c r="BI15" s="25">
        <f t="shared" si="74"/>
        <v>0.4182178373</v>
      </c>
      <c r="BJ15" s="26">
        <f t="shared" si="30"/>
        <v>0.0209891032</v>
      </c>
      <c r="BK15" s="3"/>
      <c r="BL15" s="29" t="s">
        <v>19</v>
      </c>
      <c r="BM15" s="30">
        <f t="shared" ref="BM15:BQ15" si="75">+H65</f>
        <v>0.636</v>
      </c>
      <c r="BN15" s="30">
        <f t="shared" si="75"/>
        <v>0.64</v>
      </c>
      <c r="BO15" s="30">
        <f t="shared" si="75"/>
        <v>0.644</v>
      </c>
      <c r="BP15" s="30">
        <f t="shared" si="75"/>
        <v>0.66</v>
      </c>
      <c r="BQ15" s="30">
        <f t="shared" si="75"/>
        <v>0.674</v>
      </c>
      <c r="BR15" s="26">
        <f t="shared" si="32"/>
        <v>0.01461363707</v>
      </c>
      <c r="BS15" s="3"/>
      <c r="BT15" s="29" t="s">
        <v>19</v>
      </c>
      <c r="BU15" s="25">
        <f t="shared" ref="BU15:BY15" si="76">+C65</f>
        <v>0.25</v>
      </c>
      <c r="BV15" s="25">
        <f t="shared" si="76"/>
        <v>0.273</v>
      </c>
      <c r="BW15" s="25">
        <f t="shared" si="76"/>
        <v>0.271</v>
      </c>
      <c r="BX15" s="25">
        <f t="shared" si="76"/>
        <v>0.28</v>
      </c>
      <c r="BY15" s="25">
        <f t="shared" si="76"/>
        <v>0.286</v>
      </c>
      <c r="BZ15" s="26">
        <f t="shared" si="34"/>
        <v>0.03420469762</v>
      </c>
      <c r="CA15" s="19"/>
    </row>
    <row r="16" ht="14.25" customHeight="1">
      <c r="A16" s="8" t="s">
        <v>20</v>
      </c>
      <c r="B16" s="17">
        <v>541081.0</v>
      </c>
      <c r="C16" s="17">
        <v>459894.0</v>
      </c>
      <c r="D16" s="17">
        <v>379554.0</v>
      </c>
      <c r="E16" s="17">
        <v>316230.0</v>
      </c>
      <c r="F16" s="17">
        <v>350769.0</v>
      </c>
      <c r="G16" s="17">
        <v>315593.0</v>
      </c>
      <c r="H16" s="17">
        <v>1433783.0</v>
      </c>
      <c r="I16" s="17">
        <v>1395023.0</v>
      </c>
      <c r="J16" s="17">
        <v>1102364.0</v>
      </c>
      <c r="K16" s="17">
        <v>1099676.0</v>
      </c>
      <c r="L16" s="17">
        <v>1297276.0</v>
      </c>
      <c r="M16" s="17">
        <v>1188177.0</v>
      </c>
      <c r="N16" s="12">
        <v>2.87E10</v>
      </c>
      <c r="O16" s="12">
        <v>2.85E10</v>
      </c>
      <c r="P16" s="12">
        <v>2.7E10</v>
      </c>
      <c r="Q16" s="12">
        <v>3.14E10</v>
      </c>
      <c r="R16" s="12">
        <v>3.09E10</v>
      </c>
      <c r="S16" s="12">
        <v>3.34E10</v>
      </c>
      <c r="T16" s="3"/>
      <c r="U16" s="8" t="s">
        <v>19</v>
      </c>
      <c r="V16" s="19">
        <f t="shared" ref="V16:Z16" si="77">(C41+I41)/(O16)*100</f>
        <v>4.070175439</v>
      </c>
      <c r="W16" s="19">
        <f t="shared" si="77"/>
        <v>3.814814815</v>
      </c>
      <c r="X16" s="19">
        <f t="shared" si="77"/>
        <v>3.691082803</v>
      </c>
      <c r="Y16" s="19">
        <f t="shared" si="77"/>
        <v>4.391585761</v>
      </c>
      <c r="Z16" s="19">
        <f t="shared" si="77"/>
        <v>3.931137725</v>
      </c>
      <c r="AA16" s="26">
        <f t="shared" si="19"/>
        <v>-0.008651662719</v>
      </c>
      <c r="AB16" s="10">
        <f t="shared" si="20"/>
        <v>10</v>
      </c>
      <c r="AC16" s="3"/>
      <c r="AD16" s="8" t="s">
        <v>20</v>
      </c>
      <c r="AE16" s="27">
        <f t="shared" ref="AE16:AI16" si="78">(C16-B16)/B16</f>
        <v>-0.1500459266</v>
      </c>
      <c r="AF16" s="27">
        <f t="shared" si="78"/>
        <v>-0.1746924291</v>
      </c>
      <c r="AG16" s="27">
        <f t="shared" si="78"/>
        <v>-0.1668379203</v>
      </c>
      <c r="AH16" s="27">
        <f t="shared" si="78"/>
        <v>0.1092211365</v>
      </c>
      <c r="AI16" s="27">
        <f t="shared" si="78"/>
        <v>-0.1002825221</v>
      </c>
      <c r="AJ16" s="28">
        <f t="shared" si="22"/>
        <v>-0.1022136139</v>
      </c>
      <c r="AK16" s="10">
        <f t="shared" si="23"/>
        <v>11</v>
      </c>
      <c r="AL16" s="3"/>
      <c r="AM16" s="29" t="s">
        <v>20</v>
      </c>
      <c r="AN16" s="25">
        <f t="shared" ref="AN16:AR16" si="79">(C16/C$18)*100</f>
        <v>1.486289071</v>
      </c>
      <c r="AO16" s="25">
        <f t="shared" si="79"/>
        <v>1.420202221</v>
      </c>
      <c r="AP16" s="25">
        <f t="shared" si="79"/>
        <v>1.002148552</v>
      </c>
      <c r="AQ16" s="25">
        <f t="shared" si="79"/>
        <v>1.027648894</v>
      </c>
      <c r="AR16" s="25">
        <f t="shared" si="79"/>
        <v>0.9467473124</v>
      </c>
      <c r="AS16" s="26">
        <f t="shared" si="25"/>
        <v>-0.1066272545</v>
      </c>
      <c r="AT16" s="10">
        <f t="shared" si="26"/>
        <v>7</v>
      </c>
      <c r="AU16" s="3"/>
      <c r="AV16" s="29" t="s">
        <v>20</v>
      </c>
      <c r="AW16" s="25">
        <f t="shared" ref="AW16:BA16" si="80">(C16/C$18)/(C41/C$43)</f>
        <v>0.565743628</v>
      </c>
      <c r="AX16" s="25">
        <f t="shared" si="80"/>
        <v>0.6952088551</v>
      </c>
      <c r="AY16" s="25">
        <f t="shared" si="80"/>
        <v>0.4174326812</v>
      </c>
      <c r="AZ16" s="25">
        <f t="shared" si="80"/>
        <v>0.3616528112</v>
      </c>
      <c r="BA16" s="25">
        <f t="shared" si="80"/>
        <v>0.3474562411</v>
      </c>
      <c r="BB16" s="26">
        <f t="shared" si="28"/>
        <v>-0.1147414877</v>
      </c>
      <c r="BC16" s="3"/>
      <c r="BD16" s="29" t="s">
        <v>20</v>
      </c>
      <c r="BE16" s="25">
        <f t="shared" ref="BE16:BI16" si="81">1-(ABS(C16-I16)/(C16+I16))</f>
        <v>0.4958647745</v>
      </c>
      <c r="BF16" s="25">
        <f t="shared" si="81"/>
        <v>0.5122469664</v>
      </c>
      <c r="BG16" s="25">
        <f t="shared" si="81"/>
        <v>0.446682195</v>
      </c>
      <c r="BH16" s="25">
        <f t="shared" si="81"/>
        <v>0.4256789105</v>
      </c>
      <c r="BI16" s="25">
        <f t="shared" si="81"/>
        <v>0.4197357309</v>
      </c>
      <c r="BJ16" s="26">
        <f t="shared" si="30"/>
        <v>-0.04081325018</v>
      </c>
      <c r="BK16" s="3"/>
      <c r="BL16" s="29" t="s">
        <v>20</v>
      </c>
      <c r="BM16" s="30">
        <f t="shared" ref="BM16:BQ16" si="82">+H66</f>
        <v>0.324</v>
      </c>
      <c r="BN16" s="30">
        <f t="shared" si="82"/>
        <v>0.32</v>
      </c>
      <c r="BO16" s="30">
        <f t="shared" si="82"/>
        <v>0.323</v>
      </c>
      <c r="BP16" s="30">
        <f t="shared" si="82"/>
        <v>0.365</v>
      </c>
      <c r="BQ16" s="30">
        <f t="shared" si="82"/>
        <v>0.372</v>
      </c>
      <c r="BR16" s="26">
        <f t="shared" si="32"/>
        <v>0.03514093302</v>
      </c>
      <c r="BS16" s="3"/>
      <c r="BT16" s="29" t="s">
        <v>20</v>
      </c>
      <c r="BU16" s="25">
        <f t="shared" ref="BU16:BY16" si="83">+C66</f>
        <v>0.105</v>
      </c>
      <c r="BV16" s="25">
        <f t="shared" si="83"/>
        <v>0.097</v>
      </c>
      <c r="BW16" s="25">
        <f t="shared" si="83"/>
        <v>0.114</v>
      </c>
      <c r="BX16" s="25">
        <f t="shared" si="83"/>
        <v>0.14</v>
      </c>
      <c r="BY16" s="25">
        <f t="shared" si="83"/>
        <v>0.139</v>
      </c>
      <c r="BZ16" s="26">
        <f t="shared" si="34"/>
        <v>0.07264589558</v>
      </c>
      <c r="CA16" s="19"/>
    </row>
    <row r="17" ht="14.25" customHeight="1">
      <c r="A17" s="8" t="s">
        <v>21</v>
      </c>
      <c r="B17" s="17">
        <v>834742.0</v>
      </c>
      <c r="C17" s="17">
        <v>765234.0</v>
      </c>
      <c r="D17" s="17">
        <v>545955.0</v>
      </c>
      <c r="E17" s="17">
        <v>783508.0</v>
      </c>
      <c r="F17" s="17">
        <v>556503.0</v>
      </c>
      <c r="G17" s="17">
        <v>501466.0</v>
      </c>
      <c r="H17" s="17">
        <v>4932472.0</v>
      </c>
      <c r="I17" s="17">
        <v>5068165.0</v>
      </c>
      <c r="J17" s="17">
        <v>4381239.0</v>
      </c>
      <c r="K17" s="17">
        <v>5154804.0</v>
      </c>
      <c r="L17" s="17">
        <v>5615233.0</v>
      </c>
      <c r="M17" s="17">
        <v>4646194.0</v>
      </c>
      <c r="N17" s="12">
        <v>2.07E11</v>
      </c>
      <c r="O17" s="12">
        <v>2.15E11</v>
      </c>
      <c r="P17" s="12">
        <v>2.13E11</v>
      </c>
      <c r="Q17" s="12">
        <v>2.36E11</v>
      </c>
      <c r="R17" s="12">
        <v>2.57E11</v>
      </c>
      <c r="S17" s="12">
        <v>2.73E11</v>
      </c>
      <c r="T17" s="3"/>
      <c r="U17" s="8" t="s">
        <v>20</v>
      </c>
      <c r="V17" s="19">
        <f t="shared" ref="V17:Z17" si="84">(C42+I42)/(O17)*100</f>
        <v>1.958139535</v>
      </c>
      <c r="W17" s="19">
        <f t="shared" si="84"/>
        <v>1.802816901</v>
      </c>
      <c r="X17" s="19">
        <f t="shared" si="84"/>
        <v>1.983050847</v>
      </c>
      <c r="Y17" s="19">
        <f t="shared" si="84"/>
        <v>2.112840467</v>
      </c>
      <c r="Z17" s="19">
        <f t="shared" si="84"/>
        <v>1.901098901</v>
      </c>
      <c r="AA17" s="26">
        <f t="shared" si="19"/>
        <v>-0.007363435481</v>
      </c>
      <c r="AB17" s="10">
        <f t="shared" si="20"/>
        <v>11</v>
      </c>
      <c r="AC17" s="3"/>
      <c r="AD17" s="8" t="s">
        <v>21</v>
      </c>
      <c r="AE17" s="27">
        <f t="shared" ref="AE17:AI17" si="85">(C17-B17)/B17</f>
        <v>-0.08326884235</v>
      </c>
      <c r="AF17" s="27">
        <f t="shared" si="85"/>
        <v>-0.2865515646</v>
      </c>
      <c r="AG17" s="27">
        <f t="shared" si="85"/>
        <v>0.4351146157</v>
      </c>
      <c r="AH17" s="27">
        <f t="shared" si="85"/>
        <v>-0.2897290136</v>
      </c>
      <c r="AI17" s="27">
        <f t="shared" si="85"/>
        <v>-0.09889793945</v>
      </c>
      <c r="AJ17" s="28">
        <f t="shared" si="22"/>
        <v>-0.09689583452</v>
      </c>
      <c r="AK17" s="32">
        <f t="shared" si="23"/>
        <v>10</v>
      </c>
      <c r="AL17" s="3"/>
      <c r="AM17" s="29" t="s">
        <v>21</v>
      </c>
      <c r="AN17" s="25">
        <f t="shared" ref="AN17:AR17" si="86">(C17/C$18)*100</f>
        <v>2.473089301</v>
      </c>
      <c r="AO17" s="25">
        <f t="shared" si="86"/>
        <v>2.042835811</v>
      </c>
      <c r="AP17" s="25">
        <f t="shared" si="86"/>
        <v>2.482975707</v>
      </c>
      <c r="AQ17" s="25">
        <f t="shared" si="86"/>
        <v>1.630388353</v>
      </c>
      <c r="AR17" s="25">
        <f t="shared" si="86"/>
        <v>1.504347649</v>
      </c>
      <c r="AS17" s="26">
        <f t="shared" si="25"/>
        <v>-0.1168649869</v>
      </c>
      <c r="AT17" s="10">
        <f t="shared" si="26"/>
        <v>5</v>
      </c>
      <c r="AU17" s="3"/>
      <c r="AV17" s="29" t="s">
        <v>21</v>
      </c>
      <c r="AW17" s="25">
        <f t="shared" ref="AW17:BA17" si="87">(C17/C$18)/(C42/C$43)</f>
        <v>0.2686322753</v>
      </c>
      <c r="AX17" s="25">
        <f t="shared" si="87"/>
        <v>0.2769221653</v>
      </c>
      <c r="AY17" s="25">
        <f t="shared" si="87"/>
        <v>0.2783618236</v>
      </c>
      <c r="AZ17" s="25">
        <f t="shared" si="87"/>
        <v>0.1490131901</v>
      </c>
      <c r="BA17" s="25">
        <f t="shared" si="87"/>
        <v>0.1423969219</v>
      </c>
      <c r="BB17" s="26">
        <f t="shared" si="28"/>
        <v>-0.1467317168</v>
      </c>
      <c r="BC17" s="3"/>
      <c r="BD17" s="29" t="s">
        <v>21</v>
      </c>
      <c r="BE17" s="25">
        <f t="shared" ref="BE17:BI17" si="88">1-(ABS(C17-I17)/(C17+I17))</f>
        <v>0.2623629894</v>
      </c>
      <c r="BF17" s="25">
        <f t="shared" si="88"/>
        <v>0.2216088914</v>
      </c>
      <c r="BG17" s="25">
        <f t="shared" si="88"/>
        <v>0.2638823962</v>
      </c>
      <c r="BH17" s="25">
        <f t="shared" si="88"/>
        <v>0.1803392109</v>
      </c>
      <c r="BI17" s="25">
        <f t="shared" si="88"/>
        <v>0.1948326036</v>
      </c>
      <c r="BJ17" s="26">
        <f t="shared" si="30"/>
        <v>-0.07169697461</v>
      </c>
      <c r="BK17" s="3"/>
      <c r="BL17" s="29" t="s">
        <v>21</v>
      </c>
      <c r="BM17" s="30">
        <f t="shared" ref="BM17:BQ17" si="89">+H67</f>
        <v>0.24</v>
      </c>
      <c r="BN17" s="30">
        <f t="shared" si="89"/>
        <v>0.23</v>
      </c>
      <c r="BO17" s="30">
        <f t="shared" si="89"/>
        <v>0.232</v>
      </c>
      <c r="BP17" s="30">
        <f t="shared" si="89"/>
        <v>0.228</v>
      </c>
      <c r="BQ17" s="30">
        <f t="shared" si="89"/>
        <v>0.219</v>
      </c>
      <c r="BR17" s="26">
        <f t="shared" si="32"/>
        <v>-0.02263176912</v>
      </c>
      <c r="BS17" s="3"/>
      <c r="BT17" s="29" t="s">
        <v>21</v>
      </c>
      <c r="BU17" s="25">
        <f t="shared" ref="BU17:BY17" si="90">+C67</f>
        <v>0.101</v>
      </c>
      <c r="BV17" s="25">
        <f t="shared" si="90"/>
        <v>0.083</v>
      </c>
      <c r="BW17" s="25">
        <f t="shared" si="90"/>
        <v>0.083</v>
      </c>
      <c r="BX17" s="25">
        <f t="shared" si="90"/>
        <v>0.094</v>
      </c>
      <c r="BY17" s="25">
        <f t="shared" si="90"/>
        <v>0.097</v>
      </c>
      <c r="BZ17" s="26">
        <f t="shared" si="34"/>
        <v>-0.0100515269</v>
      </c>
      <c r="CA17" s="19"/>
    </row>
    <row r="18" ht="14.25" customHeight="1">
      <c r="A18" s="1" t="s">
        <v>51</v>
      </c>
      <c r="B18" s="2">
        <v>3.1202744E7</v>
      </c>
      <c r="C18" s="2">
        <v>3.0942433E7</v>
      </c>
      <c r="D18" s="2">
        <v>2.6725349E7</v>
      </c>
      <c r="E18" s="2">
        <v>3.1555202E7</v>
      </c>
      <c r="F18" s="2">
        <v>3.4133156E7</v>
      </c>
      <c r="G18" s="2">
        <v>3.3334449E7</v>
      </c>
      <c r="H18" s="17">
        <v>2.8536824E7</v>
      </c>
      <c r="I18" s="17">
        <v>2.8219851E7</v>
      </c>
      <c r="J18" s="17">
        <v>2.41761E7</v>
      </c>
      <c r="K18" s="17">
        <v>2.8488059E7</v>
      </c>
      <c r="L18" s="17">
        <v>3.110722E7</v>
      </c>
      <c r="M18" s="17">
        <v>2.9072852E7</v>
      </c>
      <c r="N18" s="12">
        <v>8.66E11</v>
      </c>
      <c r="O18" s="12">
        <v>8.77E11</v>
      </c>
      <c r="P18" s="12">
        <v>8.55E11</v>
      </c>
      <c r="Q18" s="12">
        <v>9.73E11</v>
      </c>
      <c r="R18" s="12">
        <v>1.01E12</v>
      </c>
      <c r="S18" s="12">
        <v>1.05E12</v>
      </c>
      <c r="T18" s="3"/>
      <c r="U18" s="33" t="s">
        <v>51</v>
      </c>
      <c r="V18" s="19">
        <f t="shared" ref="V18:Z18" si="91">(C43+I43)/(O18)*100</f>
        <v>4.049788326</v>
      </c>
      <c r="W18" s="19">
        <f t="shared" si="91"/>
        <v>4.869646644</v>
      </c>
      <c r="X18" s="19">
        <f t="shared" si="91"/>
        <v>4.32698852</v>
      </c>
      <c r="Y18" s="19">
        <f t="shared" si="91"/>
        <v>4.318641489</v>
      </c>
      <c r="Z18" s="19">
        <f t="shared" si="91"/>
        <v>4.247942884</v>
      </c>
      <c r="AA18" s="35">
        <f t="shared" si="19"/>
        <v>0.01201415304</v>
      </c>
      <c r="AB18" s="35"/>
      <c r="AC18" s="36"/>
      <c r="AD18" s="33" t="s">
        <v>51</v>
      </c>
      <c r="AE18" s="37">
        <f t="shared" ref="AE18:AI18" si="92">(C18-B18)/B18</f>
        <v>-0.008342567564</v>
      </c>
      <c r="AF18" s="37">
        <f t="shared" si="92"/>
        <v>-0.1362880547</v>
      </c>
      <c r="AG18" s="37">
        <f t="shared" si="92"/>
        <v>0.1807217934</v>
      </c>
      <c r="AH18" s="37">
        <f t="shared" si="92"/>
        <v>0.0816966407</v>
      </c>
      <c r="AI18" s="37">
        <f t="shared" si="92"/>
        <v>-0.02339974071</v>
      </c>
      <c r="AJ18" s="38">
        <f t="shared" si="22"/>
        <v>0.01330479692</v>
      </c>
      <c r="AK18" s="35"/>
      <c r="AL18" s="36"/>
      <c r="AM18" s="33" t="s">
        <v>51</v>
      </c>
      <c r="AN18" s="39">
        <f t="shared" ref="AN18:AR18" si="93">(C18/C$18)*100</f>
        <v>100</v>
      </c>
      <c r="AO18" s="39">
        <f t="shared" si="93"/>
        <v>100</v>
      </c>
      <c r="AP18" s="39">
        <f t="shared" si="93"/>
        <v>100</v>
      </c>
      <c r="AQ18" s="39">
        <f t="shared" si="93"/>
        <v>100</v>
      </c>
      <c r="AR18" s="39">
        <f t="shared" si="93"/>
        <v>100</v>
      </c>
      <c r="AS18" s="35"/>
      <c r="AT18" s="35"/>
      <c r="AU18" s="36"/>
      <c r="AV18" s="33" t="s">
        <v>51</v>
      </c>
      <c r="AW18" s="39">
        <f t="shared" ref="AW18:BA18" si="94">(B18/B43)/(B$18/B$43)</f>
        <v>1</v>
      </c>
      <c r="AX18" s="39">
        <f t="shared" si="94"/>
        <v>1</v>
      </c>
      <c r="AY18" s="39">
        <f t="shared" si="94"/>
        <v>1</v>
      </c>
      <c r="AZ18" s="39">
        <f t="shared" si="94"/>
        <v>1</v>
      </c>
      <c r="BA18" s="39">
        <f t="shared" si="94"/>
        <v>1</v>
      </c>
      <c r="BB18" s="35">
        <f t="shared" si="28"/>
        <v>0</v>
      </c>
      <c r="BC18" s="36"/>
      <c r="BD18" s="33" t="s">
        <v>51</v>
      </c>
      <c r="BE18" s="39">
        <f t="shared" ref="BE18:BI18" si="95">1-(ABS(C18-I18)/(C18+I18))</f>
        <v>0.9539811208</v>
      </c>
      <c r="BF18" s="39">
        <f t="shared" si="95"/>
        <v>0.9499179483</v>
      </c>
      <c r="BG18" s="39">
        <f t="shared" si="95"/>
        <v>0.9489177811</v>
      </c>
      <c r="BH18" s="39">
        <f t="shared" si="95"/>
        <v>0.9536186609</v>
      </c>
      <c r="BI18" s="39">
        <f t="shared" si="95"/>
        <v>0.9317131661</v>
      </c>
      <c r="BJ18" s="35">
        <f t="shared" si="30"/>
        <v>-0.005887320449</v>
      </c>
      <c r="BK18" s="36"/>
      <c r="BL18" s="33" t="s">
        <v>51</v>
      </c>
      <c r="BM18" s="40"/>
      <c r="BN18" s="40"/>
      <c r="BO18" s="40"/>
      <c r="BP18" s="40"/>
      <c r="BQ18" s="40"/>
      <c r="BR18" s="35"/>
      <c r="BS18" s="36"/>
      <c r="BT18" s="33" t="s">
        <v>51</v>
      </c>
      <c r="BU18" s="39">
        <f t="shared" ref="BU18:BY18" si="96">+C68</f>
        <v>0.068</v>
      </c>
      <c r="BV18" s="39">
        <f t="shared" si="96"/>
        <v>0.063</v>
      </c>
      <c r="BW18" s="39">
        <f t="shared" si="96"/>
        <v>0.064</v>
      </c>
      <c r="BX18" s="39">
        <f t="shared" si="96"/>
        <v>0.073</v>
      </c>
      <c r="BY18" s="39">
        <f t="shared" si="96"/>
        <v>0.069</v>
      </c>
      <c r="BZ18" s="35">
        <f t="shared" si="34"/>
        <v>0.00365636812</v>
      </c>
    </row>
    <row r="19" ht="14.25" customHeight="1">
      <c r="T19" s="3"/>
      <c r="U19" s="8"/>
      <c r="V19" s="19"/>
      <c r="W19" s="19"/>
      <c r="X19" s="19"/>
      <c r="Y19" s="19"/>
      <c r="Z19" s="19"/>
      <c r="AA19" s="26"/>
      <c r="AB19" s="10"/>
      <c r="AC19" s="3"/>
      <c r="AE19" s="27"/>
      <c r="AF19" s="27"/>
      <c r="AG19" s="27"/>
      <c r="AH19" s="27"/>
      <c r="AI19" s="27"/>
      <c r="AJ19" s="28"/>
      <c r="AK19" s="10"/>
      <c r="AL19" s="3"/>
      <c r="AN19" s="25"/>
      <c r="AO19" s="25"/>
      <c r="AP19" s="25"/>
      <c r="AQ19" s="25"/>
      <c r="AR19" s="25"/>
      <c r="AS19" s="26"/>
      <c r="AT19" s="10"/>
      <c r="AU19" s="3"/>
      <c r="AW19" s="25"/>
      <c r="AX19" s="25"/>
      <c r="AY19" s="25"/>
      <c r="AZ19" s="25"/>
      <c r="BA19" s="25"/>
      <c r="BB19" s="26"/>
      <c r="BC19" s="3"/>
      <c r="BE19" s="25"/>
      <c r="BF19" s="25"/>
      <c r="BG19" s="25"/>
      <c r="BH19" s="25"/>
      <c r="BI19" s="25"/>
      <c r="BJ19" s="26"/>
      <c r="BK19" s="3"/>
      <c r="BM19" s="30"/>
      <c r="BN19" s="30"/>
      <c r="BO19" s="30"/>
      <c r="BP19" s="30"/>
      <c r="BQ19" s="30"/>
      <c r="BR19" s="26"/>
      <c r="BS19" s="3"/>
      <c r="BU19" s="25"/>
      <c r="BV19" s="25"/>
      <c r="BW19" s="25"/>
      <c r="BX19" s="25"/>
      <c r="BY19" s="25"/>
      <c r="BZ19" s="26"/>
      <c r="CA19" s="19"/>
    </row>
    <row r="20" ht="14.25" customHeight="1">
      <c r="T20" s="3"/>
      <c r="V20" s="19"/>
      <c r="W20" s="19"/>
      <c r="X20" s="19"/>
      <c r="Y20" s="19"/>
      <c r="Z20" s="19"/>
      <c r="AA20" s="26"/>
      <c r="AB20" s="10"/>
      <c r="AC20" s="3"/>
      <c r="AE20" s="27"/>
      <c r="AF20" s="27"/>
      <c r="AG20" s="27"/>
      <c r="AH20" s="27"/>
      <c r="AI20" s="27"/>
      <c r="AJ20" s="28"/>
      <c r="AK20" s="10"/>
      <c r="AL20" s="3"/>
      <c r="AN20" s="25"/>
      <c r="AO20" s="25"/>
      <c r="AP20" s="25"/>
      <c r="AQ20" s="25"/>
      <c r="AR20" s="25"/>
      <c r="AS20" s="26"/>
      <c r="AT20" s="10"/>
      <c r="AU20" s="3"/>
      <c r="AW20" s="25"/>
      <c r="AX20" s="25"/>
      <c r="AY20" s="25"/>
      <c r="AZ20" s="25"/>
      <c r="BA20" s="25"/>
      <c r="BB20" s="26"/>
      <c r="BC20" s="3"/>
      <c r="BE20" s="25"/>
      <c r="BF20" s="25"/>
      <c r="BG20" s="25"/>
      <c r="BH20" s="25"/>
      <c r="BI20" s="25"/>
      <c r="BJ20" s="26"/>
      <c r="BK20" s="3"/>
      <c r="BM20" s="30"/>
      <c r="BN20" s="30"/>
      <c r="BO20" s="30"/>
      <c r="BP20" s="30"/>
      <c r="BQ20" s="30"/>
      <c r="BR20" s="26"/>
      <c r="BS20" s="3"/>
      <c r="BU20" s="25"/>
      <c r="BV20" s="25"/>
      <c r="BW20" s="25"/>
      <c r="BX20" s="25"/>
      <c r="BY20" s="25"/>
      <c r="BZ20" s="26"/>
      <c r="CA20" s="19"/>
    </row>
    <row r="21" ht="14.25" customHeight="1">
      <c r="T21" s="3"/>
      <c r="V21" s="19"/>
      <c r="W21" s="19"/>
      <c r="X21" s="19"/>
      <c r="Y21" s="19"/>
      <c r="Z21" s="19"/>
      <c r="AA21" s="26"/>
      <c r="AB21" s="10"/>
      <c r="AC21" s="3"/>
      <c r="AE21" s="27"/>
      <c r="AF21" s="27"/>
      <c r="AG21" s="27"/>
      <c r="AH21" s="27"/>
      <c r="AI21" s="27"/>
      <c r="AJ21" s="28"/>
      <c r="AK21" s="10"/>
      <c r="AL21" s="3"/>
      <c r="AN21" s="25"/>
      <c r="AO21" s="25"/>
      <c r="AP21" s="25"/>
      <c r="AQ21" s="25"/>
      <c r="AR21" s="25"/>
      <c r="AS21" s="26"/>
      <c r="AT21" s="10"/>
      <c r="AU21" s="3"/>
      <c r="AW21" s="25"/>
      <c r="AX21" s="25"/>
      <c r="AY21" s="25"/>
      <c r="AZ21" s="25"/>
      <c r="BA21" s="25"/>
      <c r="BB21" s="26"/>
      <c r="BC21" s="3"/>
      <c r="BE21" s="25"/>
      <c r="BF21" s="25"/>
      <c r="BG21" s="25"/>
      <c r="BH21" s="25"/>
      <c r="BI21" s="25"/>
      <c r="BJ21" s="26"/>
      <c r="BK21" s="3"/>
      <c r="BM21" s="30"/>
      <c r="BN21" s="30"/>
      <c r="BO21" s="30"/>
      <c r="BP21" s="30"/>
      <c r="BQ21" s="30"/>
      <c r="BR21" s="26"/>
      <c r="BS21" s="3"/>
      <c r="BU21" s="25"/>
      <c r="BV21" s="25"/>
      <c r="BW21" s="25"/>
      <c r="BX21" s="25"/>
      <c r="BY21" s="25"/>
      <c r="BZ21" s="26"/>
      <c r="CA21" s="19"/>
    </row>
    <row r="22" ht="14.25" customHeight="1">
      <c r="T22" s="3"/>
      <c r="V22" s="19"/>
      <c r="W22" s="19"/>
      <c r="X22" s="19"/>
      <c r="Y22" s="19"/>
      <c r="Z22" s="19"/>
      <c r="AA22" s="26"/>
      <c r="AB22" s="10"/>
      <c r="AC22" s="3"/>
      <c r="AE22" s="27"/>
      <c r="AF22" s="27"/>
      <c r="AG22" s="27"/>
      <c r="AH22" s="27"/>
      <c r="AI22" s="27"/>
      <c r="AJ22" s="28"/>
      <c r="AK22" s="10"/>
      <c r="AL22" s="3"/>
      <c r="AN22" s="25"/>
      <c r="AO22" s="25"/>
      <c r="AP22" s="25"/>
      <c r="AQ22" s="25"/>
      <c r="AR22" s="25"/>
      <c r="AS22" s="26"/>
      <c r="AT22" s="10"/>
      <c r="AU22" s="3"/>
      <c r="AW22" s="25"/>
      <c r="AX22" s="25"/>
      <c r="AY22" s="25"/>
      <c r="AZ22" s="25"/>
      <c r="BA22" s="25"/>
      <c r="BB22" s="26"/>
      <c r="BC22" s="3"/>
      <c r="BE22" s="25"/>
      <c r="BF22" s="25"/>
      <c r="BG22" s="25"/>
      <c r="BH22" s="25"/>
      <c r="BI22" s="25"/>
      <c r="BJ22" s="26"/>
      <c r="BK22" s="3"/>
      <c r="BM22" s="30"/>
      <c r="BN22" s="30"/>
      <c r="BO22" s="30"/>
      <c r="BP22" s="30"/>
      <c r="BQ22" s="30"/>
      <c r="BR22" s="26"/>
      <c r="BS22" s="3"/>
      <c r="BU22" s="25"/>
      <c r="BV22" s="25"/>
      <c r="BW22" s="25"/>
      <c r="BX22" s="25"/>
      <c r="BY22" s="25"/>
      <c r="BZ22" s="26"/>
      <c r="CA22" s="19"/>
    </row>
    <row r="23" ht="14.25" customHeight="1">
      <c r="T23" s="3"/>
      <c r="V23" s="19"/>
      <c r="W23" s="19"/>
      <c r="X23" s="19"/>
      <c r="Y23" s="19"/>
      <c r="Z23" s="19"/>
      <c r="AA23" s="26"/>
      <c r="AB23" s="10"/>
      <c r="AC23" s="3"/>
      <c r="AE23" s="27"/>
      <c r="AF23" s="27"/>
      <c r="AG23" s="27"/>
      <c r="AH23" s="27"/>
      <c r="AI23" s="27"/>
      <c r="AJ23" s="28"/>
      <c r="AK23" s="32"/>
      <c r="AL23" s="3"/>
      <c r="AN23" s="25"/>
      <c r="AO23" s="25"/>
      <c r="AP23" s="25"/>
      <c r="AQ23" s="25"/>
      <c r="AR23" s="25"/>
      <c r="AS23" s="26"/>
      <c r="AT23" s="10"/>
      <c r="AU23" s="3"/>
      <c r="AW23" s="25"/>
      <c r="AX23" s="25"/>
      <c r="AY23" s="25"/>
      <c r="AZ23" s="25"/>
      <c r="BA23" s="25"/>
      <c r="BB23" s="26"/>
      <c r="BC23" s="3"/>
      <c r="BE23" s="25"/>
      <c r="BF23" s="25"/>
      <c r="BG23" s="25"/>
      <c r="BH23" s="25"/>
      <c r="BI23" s="25"/>
      <c r="BJ23" s="26"/>
      <c r="BK23" s="3"/>
      <c r="BM23" s="30"/>
      <c r="BN23" s="30"/>
      <c r="BO23" s="30"/>
      <c r="BP23" s="30"/>
      <c r="BQ23" s="30"/>
      <c r="BR23" s="26"/>
      <c r="BS23" s="3"/>
      <c r="BU23" s="25"/>
      <c r="BV23" s="25"/>
      <c r="BW23" s="25"/>
      <c r="BX23" s="25"/>
      <c r="BY23" s="25"/>
      <c r="BZ23" s="26"/>
      <c r="CA23" s="19"/>
    </row>
    <row r="24" ht="14.25" customHeight="1">
      <c r="T24" s="3"/>
      <c r="V24" s="19"/>
      <c r="W24" s="19"/>
      <c r="X24" s="19"/>
      <c r="Y24" s="19"/>
      <c r="Z24" s="19"/>
      <c r="AA24" s="26"/>
      <c r="AB24" s="10"/>
      <c r="AC24" s="3"/>
      <c r="AE24" s="27"/>
      <c r="AF24" s="27"/>
      <c r="AG24" s="27"/>
      <c r="AH24" s="27"/>
      <c r="AI24" s="27"/>
      <c r="AJ24" s="28"/>
      <c r="AK24" s="32"/>
      <c r="AL24" s="3"/>
      <c r="AN24" s="25"/>
      <c r="AO24" s="25"/>
      <c r="AP24" s="25"/>
      <c r="AQ24" s="25"/>
      <c r="AR24" s="25"/>
      <c r="AS24" s="26"/>
      <c r="AT24" s="10"/>
      <c r="AU24" s="3"/>
      <c r="AW24" s="25"/>
      <c r="AX24" s="25"/>
      <c r="AY24" s="25"/>
      <c r="AZ24" s="25"/>
      <c r="BA24" s="25"/>
      <c r="BB24" s="26"/>
      <c r="BC24" s="3"/>
      <c r="BE24" s="25"/>
      <c r="BF24" s="25"/>
      <c r="BG24" s="25"/>
      <c r="BH24" s="25"/>
      <c r="BI24" s="25"/>
      <c r="BJ24" s="26"/>
      <c r="BK24" s="3"/>
      <c r="BM24" s="30"/>
      <c r="BN24" s="30"/>
      <c r="BO24" s="30"/>
      <c r="BP24" s="30"/>
      <c r="BQ24" s="30"/>
      <c r="BR24" s="26"/>
      <c r="BS24" s="3"/>
      <c r="BU24" s="25"/>
      <c r="BV24" s="25"/>
      <c r="BW24" s="25"/>
      <c r="BX24" s="25"/>
      <c r="BY24" s="25"/>
      <c r="BZ24" s="26"/>
      <c r="CA24" s="19"/>
    </row>
    <row r="25" ht="14.25" customHeight="1">
      <c r="T25" s="3"/>
      <c r="V25" s="19"/>
      <c r="W25" s="19"/>
      <c r="X25" s="19"/>
      <c r="Y25" s="19"/>
      <c r="Z25" s="19"/>
      <c r="AA25" s="26"/>
      <c r="AB25" s="10"/>
      <c r="AC25" s="3"/>
      <c r="AE25" s="27"/>
      <c r="AF25" s="27"/>
      <c r="AG25" s="27"/>
      <c r="AH25" s="27"/>
      <c r="AI25" s="27"/>
      <c r="AJ25" s="28"/>
      <c r="AK25" s="10"/>
      <c r="AL25" s="3"/>
      <c r="AN25" s="25"/>
      <c r="AO25" s="25"/>
      <c r="AP25" s="25"/>
      <c r="AQ25" s="25"/>
      <c r="AR25" s="25"/>
      <c r="AS25" s="26"/>
      <c r="AT25" s="10"/>
      <c r="AU25" s="3"/>
      <c r="AW25" s="25"/>
      <c r="AX25" s="25"/>
      <c r="AY25" s="25"/>
      <c r="AZ25" s="25"/>
      <c r="BA25" s="25"/>
      <c r="BB25" s="26"/>
      <c r="BC25" s="3"/>
      <c r="BE25" s="25"/>
      <c r="BF25" s="25"/>
      <c r="BG25" s="25"/>
      <c r="BH25" s="25"/>
      <c r="BI25" s="25"/>
      <c r="BJ25" s="26"/>
      <c r="BK25" s="3"/>
      <c r="BM25" s="30"/>
      <c r="BN25" s="30"/>
      <c r="BO25" s="30"/>
      <c r="BP25" s="30"/>
      <c r="BQ25" s="30"/>
      <c r="BR25" s="26"/>
      <c r="BS25" s="3"/>
      <c r="BU25" s="25"/>
      <c r="BV25" s="25"/>
      <c r="BW25" s="25"/>
      <c r="BX25" s="25"/>
      <c r="BY25" s="25"/>
      <c r="BZ25" s="26"/>
      <c r="CA25" s="19"/>
    </row>
    <row r="26" ht="14.25" customHeight="1">
      <c r="T26" s="3"/>
      <c r="V26" s="19"/>
      <c r="W26" s="19"/>
      <c r="X26" s="19"/>
      <c r="Y26" s="19"/>
      <c r="Z26" s="19"/>
      <c r="AA26" s="26"/>
      <c r="AB26" s="10"/>
      <c r="AC26" s="3"/>
      <c r="AE26" s="27"/>
      <c r="AF26" s="27"/>
      <c r="AG26" s="27"/>
      <c r="AH26" s="27"/>
      <c r="AI26" s="27"/>
      <c r="AJ26" s="28"/>
      <c r="AK26" s="10"/>
      <c r="AL26" s="3"/>
      <c r="AN26" s="25"/>
      <c r="AO26" s="25"/>
      <c r="AP26" s="25"/>
      <c r="AQ26" s="25"/>
      <c r="AR26" s="25"/>
      <c r="AS26" s="26"/>
      <c r="AT26" s="10"/>
      <c r="AU26" s="3"/>
      <c r="AW26" s="25"/>
      <c r="AX26" s="25"/>
      <c r="AY26" s="25"/>
      <c r="AZ26" s="25"/>
      <c r="BA26" s="25"/>
      <c r="BB26" s="26"/>
      <c r="BC26" s="3"/>
      <c r="BE26" s="25"/>
      <c r="BF26" s="25"/>
      <c r="BG26" s="25"/>
      <c r="BH26" s="25"/>
      <c r="BI26" s="25"/>
      <c r="BJ26" s="26"/>
      <c r="BK26" s="3"/>
      <c r="BM26" s="30"/>
      <c r="BN26" s="30"/>
      <c r="BO26" s="30"/>
      <c r="BP26" s="30"/>
      <c r="BQ26" s="30"/>
      <c r="BR26" s="26"/>
      <c r="BS26" s="3"/>
      <c r="BU26" s="25"/>
      <c r="BV26" s="25"/>
      <c r="BW26" s="25"/>
      <c r="BX26" s="25"/>
      <c r="BY26" s="25"/>
      <c r="BZ26" s="26"/>
      <c r="CA26" s="19"/>
    </row>
    <row r="27" ht="14.25" customHeight="1">
      <c r="T27" s="3"/>
      <c r="V27" s="19"/>
      <c r="W27" s="19"/>
      <c r="X27" s="19"/>
      <c r="Y27" s="19"/>
      <c r="Z27" s="19"/>
      <c r="AA27" s="26"/>
      <c r="AB27" s="10"/>
      <c r="AC27" s="3"/>
      <c r="AE27" s="27"/>
      <c r="AF27" s="27"/>
      <c r="AG27" s="27"/>
      <c r="AH27" s="27"/>
      <c r="AI27" s="27"/>
      <c r="AJ27" s="28"/>
      <c r="AK27" s="10"/>
      <c r="AL27" s="3"/>
      <c r="AN27" s="25"/>
      <c r="AO27" s="25"/>
      <c r="AP27" s="25"/>
      <c r="AQ27" s="25"/>
      <c r="AR27" s="25"/>
      <c r="AS27" s="26"/>
      <c r="AT27" s="10"/>
      <c r="AU27" s="3"/>
      <c r="AW27" s="25"/>
      <c r="AX27" s="25"/>
      <c r="AY27" s="25"/>
      <c r="AZ27" s="25"/>
      <c r="BA27" s="25"/>
      <c r="BB27" s="26"/>
      <c r="BC27" s="3"/>
      <c r="BE27" s="25"/>
      <c r="BF27" s="25"/>
      <c r="BG27" s="25"/>
      <c r="BH27" s="25"/>
      <c r="BI27" s="25"/>
      <c r="BJ27" s="26"/>
      <c r="BK27" s="3"/>
      <c r="BM27" s="30"/>
      <c r="BN27" s="30"/>
      <c r="BO27" s="30"/>
      <c r="BP27" s="30"/>
      <c r="BQ27" s="30"/>
      <c r="BR27" s="26"/>
      <c r="BS27" s="3"/>
      <c r="BU27" s="25"/>
      <c r="BV27" s="25"/>
      <c r="BW27" s="25"/>
      <c r="BX27" s="25"/>
      <c r="BY27" s="25"/>
      <c r="BZ27" s="26"/>
      <c r="CA27" s="19"/>
    </row>
    <row r="28" ht="14.25" customHeight="1">
      <c r="T28" s="3"/>
      <c r="V28" s="19"/>
      <c r="W28" s="19"/>
      <c r="X28" s="19"/>
      <c r="Y28" s="19"/>
      <c r="Z28" s="19"/>
      <c r="AA28" s="26"/>
      <c r="AB28" s="10"/>
      <c r="AC28" s="3"/>
      <c r="AE28" s="27"/>
      <c r="AF28" s="27"/>
      <c r="AG28" s="27"/>
      <c r="AH28" s="27"/>
      <c r="AI28" s="27"/>
      <c r="AJ28" s="28"/>
      <c r="AK28" s="10"/>
      <c r="AL28" s="3"/>
      <c r="AN28" s="25"/>
      <c r="AO28" s="25"/>
      <c r="AP28" s="25"/>
      <c r="AQ28" s="25"/>
      <c r="AR28" s="25"/>
      <c r="AS28" s="26"/>
      <c r="AT28" s="10"/>
      <c r="AU28" s="3"/>
      <c r="AW28" s="25"/>
      <c r="AX28" s="25"/>
      <c r="AY28" s="25"/>
      <c r="AZ28" s="25"/>
      <c r="BA28" s="25"/>
      <c r="BB28" s="26"/>
      <c r="BC28" s="3"/>
      <c r="BE28" s="25"/>
      <c r="BF28" s="25"/>
      <c r="BG28" s="25"/>
      <c r="BH28" s="25"/>
      <c r="BI28" s="25"/>
      <c r="BJ28" s="26"/>
      <c r="BK28" s="3"/>
      <c r="BM28" s="30"/>
      <c r="BN28" s="30"/>
      <c r="BO28" s="30"/>
      <c r="BP28" s="30"/>
      <c r="BQ28" s="30"/>
      <c r="BR28" s="26"/>
      <c r="BS28" s="3"/>
      <c r="BU28" s="25"/>
      <c r="BV28" s="25"/>
      <c r="BW28" s="25"/>
      <c r="BX28" s="25"/>
      <c r="BY28" s="25"/>
      <c r="BZ28" s="26"/>
      <c r="CA28" s="19"/>
    </row>
    <row r="29" ht="14.25" customHeight="1">
      <c r="T29" s="3"/>
      <c r="V29" s="19"/>
      <c r="W29" s="19"/>
      <c r="X29" s="19"/>
      <c r="Y29" s="19"/>
      <c r="Z29" s="19"/>
      <c r="AA29" s="26"/>
      <c r="AB29" s="10"/>
      <c r="AC29" s="3"/>
      <c r="AE29" s="27"/>
      <c r="AF29" s="27"/>
      <c r="AG29" s="27"/>
      <c r="AH29" s="27"/>
      <c r="AI29" s="27"/>
      <c r="AJ29" s="28"/>
      <c r="AK29" s="32"/>
      <c r="AL29" s="3"/>
      <c r="AN29" s="25"/>
      <c r="AO29" s="25"/>
      <c r="AP29" s="25"/>
      <c r="AQ29" s="25"/>
      <c r="AR29" s="25"/>
      <c r="AS29" s="26"/>
      <c r="AT29" s="10"/>
      <c r="AU29" s="3"/>
      <c r="AW29" s="25"/>
      <c r="AX29" s="25"/>
      <c r="AY29" s="25"/>
      <c r="AZ29" s="25"/>
      <c r="BA29" s="25"/>
      <c r="BB29" s="26"/>
      <c r="BC29" s="3"/>
      <c r="BE29" s="25"/>
      <c r="BF29" s="25"/>
      <c r="BG29" s="25"/>
      <c r="BH29" s="25"/>
      <c r="BI29" s="25"/>
      <c r="BJ29" s="26"/>
      <c r="BK29" s="3"/>
      <c r="BM29" s="30"/>
      <c r="BN29" s="30"/>
      <c r="BO29" s="30"/>
      <c r="BP29" s="30"/>
      <c r="BQ29" s="30"/>
      <c r="BR29" s="26"/>
      <c r="BS29" s="3"/>
      <c r="BU29" s="25"/>
      <c r="BV29" s="25"/>
      <c r="BW29" s="25"/>
      <c r="BX29" s="25"/>
      <c r="BY29" s="25"/>
      <c r="BZ29" s="26"/>
      <c r="CA29" s="19"/>
    </row>
    <row r="30" ht="14.25" customHeight="1">
      <c r="T30" s="3"/>
      <c r="V30" s="33" t="str">
        <f>+V6</f>
        <v>Trade openness index (country level)</v>
      </c>
      <c r="W30" s="33"/>
      <c r="X30" s="33"/>
      <c r="Y30" s="33"/>
      <c r="Z30" s="33"/>
      <c r="AA30" s="41"/>
      <c r="AB30" s="41"/>
      <c r="AC30" s="3"/>
      <c r="AE30" s="33" t="str">
        <f>+AE6</f>
        <v>Export growth</v>
      </c>
      <c r="AF30" s="33"/>
      <c r="AG30" s="33"/>
      <c r="AH30" s="33"/>
      <c r="AI30" s="33"/>
      <c r="AJ30" s="33"/>
      <c r="AK30" s="41"/>
      <c r="AL30" s="3"/>
      <c r="AN30" s="33" t="str">
        <f>+AN6</f>
        <v>Trade competitiveness index</v>
      </c>
      <c r="AO30" s="33"/>
      <c r="AP30" s="33"/>
      <c r="AQ30" s="33"/>
      <c r="AR30" s="33"/>
      <c r="AS30" s="41"/>
      <c r="AT30" s="41"/>
      <c r="AU30" s="3"/>
      <c r="AW30" s="33" t="str">
        <f>+AW6</f>
        <v>Revealed comparative advantage index</v>
      </c>
      <c r="AX30" s="33"/>
      <c r="AY30" s="33"/>
      <c r="AZ30" s="33"/>
      <c r="BA30" s="33"/>
      <c r="BB30" s="41"/>
      <c r="BC30" s="3"/>
      <c r="BE30" s="33" t="str">
        <f>+BE6</f>
        <v>Intra-industry trade</v>
      </c>
      <c r="BF30" s="33"/>
      <c r="BG30" s="33"/>
      <c r="BH30" s="33"/>
      <c r="BI30" s="33"/>
      <c r="BJ30" s="41"/>
      <c r="BK30" s="3"/>
      <c r="BM30" s="33" t="str">
        <f>+BM6</f>
        <v>Export diversification </v>
      </c>
      <c r="BN30" s="33"/>
      <c r="BO30" s="33"/>
      <c r="BP30" s="33"/>
      <c r="BQ30" s="33"/>
      <c r="BR30" s="41"/>
      <c r="BS30" s="3"/>
      <c r="BU30" s="33" t="str">
        <f>+BU6</f>
        <v>Export concentration</v>
      </c>
      <c r="BV30" s="33"/>
      <c r="BW30" s="33"/>
      <c r="BX30" s="33"/>
      <c r="BY30" s="33"/>
      <c r="BZ30" s="41"/>
    </row>
    <row r="31" ht="41.25" customHeight="1">
      <c r="A31" s="3" t="s">
        <v>52</v>
      </c>
      <c r="B31" s="3" t="s">
        <v>22</v>
      </c>
      <c r="H31" s="3" t="s">
        <v>23</v>
      </c>
      <c r="T31" s="3"/>
      <c r="V31" s="42" t="s">
        <v>53</v>
      </c>
      <c r="AB31" s="42"/>
      <c r="AC31" s="3"/>
      <c r="AE31" s="42" t="s">
        <v>54</v>
      </c>
      <c r="AL31" s="3"/>
      <c r="AN31" s="42" t="s">
        <v>55</v>
      </c>
      <c r="AT31" s="42"/>
      <c r="AU31" s="3"/>
      <c r="AW31" s="42" t="s">
        <v>56</v>
      </c>
      <c r="BC31" s="3"/>
      <c r="BE31" s="42" t="s">
        <v>57</v>
      </c>
      <c r="BK31" s="3"/>
      <c r="BM31" s="42" t="s">
        <v>58</v>
      </c>
      <c r="BS31" s="3"/>
      <c r="BU31" s="42" t="s">
        <v>59</v>
      </c>
    </row>
    <row r="32" ht="14.25" customHeight="1">
      <c r="A32" s="1" t="s">
        <v>32</v>
      </c>
      <c r="B32" s="1">
        <v>2018.0</v>
      </c>
      <c r="C32" s="1">
        <f t="shared" ref="C32:G32" si="97">+B32+1</f>
        <v>2019</v>
      </c>
      <c r="D32" s="1">
        <f t="shared" si="97"/>
        <v>2020</v>
      </c>
      <c r="E32" s="1">
        <f t="shared" si="97"/>
        <v>2021</v>
      </c>
      <c r="F32" s="1">
        <f t="shared" si="97"/>
        <v>2022</v>
      </c>
      <c r="G32" s="1">
        <f t="shared" si="97"/>
        <v>2023</v>
      </c>
      <c r="H32" s="1">
        <v>2018.0</v>
      </c>
      <c r="I32" s="1">
        <f t="shared" ref="I32:M32" si="98">+H32+1</f>
        <v>2019</v>
      </c>
      <c r="J32" s="1">
        <f t="shared" si="98"/>
        <v>2020</v>
      </c>
      <c r="K32" s="1">
        <f t="shared" si="98"/>
        <v>2021</v>
      </c>
      <c r="L32" s="1">
        <f t="shared" si="98"/>
        <v>2022</v>
      </c>
      <c r="M32" s="1">
        <f t="shared" si="98"/>
        <v>2023</v>
      </c>
      <c r="T32" s="3"/>
      <c r="U32" s="42" t="s">
        <v>60</v>
      </c>
      <c r="AB32" s="42"/>
      <c r="AC32" s="3"/>
      <c r="AD32" s="43" t="s">
        <v>61</v>
      </c>
      <c r="AL32" s="3"/>
      <c r="AM32" s="43" t="s">
        <v>62</v>
      </c>
      <c r="AT32" s="42"/>
      <c r="AU32" s="3"/>
      <c r="AV32" s="43" t="s">
        <v>63</v>
      </c>
      <c r="BC32" s="3"/>
      <c r="BD32" s="43" t="s">
        <v>64</v>
      </c>
      <c r="BK32" s="3"/>
      <c r="BL32" s="43" t="s">
        <v>65</v>
      </c>
      <c r="BS32" s="3"/>
      <c r="BT32" s="43" t="s">
        <v>66</v>
      </c>
    </row>
    <row r="33" ht="14.25" customHeight="1">
      <c r="A33" s="8" t="s">
        <v>9</v>
      </c>
      <c r="B33" s="17">
        <v>7.525829E7</v>
      </c>
      <c r="C33" s="17">
        <v>7.2839176E7</v>
      </c>
      <c r="D33" s="17">
        <v>6.5606976E7</v>
      </c>
      <c r="E33" s="17">
        <v>8.1500265E7</v>
      </c>
      <c r="F33" s="17">
        <v>8.622824E7</v>
      </c>
      <c r="G33" s="17">
        <v>8.2567753E7</v>
      </c>
      <c r="H33" s="17">
        <v>7.8352161E7</v>
      </c>
      <c r="I33" s="17">
        <v>7.3719857E7</v>
      </c>
      <c r="J33" s="17">
        <v>6.8266522E7</v>
      </c>
      <c r="K33" s="17">
        <v>8.6263574E7</v>
      </c>
      <c r="L33" s="17">
        <v>9.7374453E7</v>
      </c>
      <c r="M33" s="17">
        <v>8.3093615E7</v>
      </c>
      <c r="T33" s="3"/>
      <c r="AB33" s="42"/>
      <c r="AC33" s="3"/>
      <c r="AL33" s="3"/>
      <c r="AT33" s="42"/>
      <c r="AU33" s="3"/>
      <c r="BC33" s="3"/>
      <c r="BK33" s="3"/>
      <c r="BS33" s="3"/>
    </row>
    <row r="34" ht="14.25" customHeight="1">
      <c r="A34" s="8" t="s">
        <v>10</v>
      </c>
      <c r="B34" s="12">
        <v>5.69E8</v>
      </c>
      <c r="C34" s="12">
        <v>5.56E8</v>
      </c>
      <c r="D34" s="12">
        <v>4.88E8</v>
      </c>
      <c r="E34" s="12">
        <v>5.85E8</v>
      </c>
      <c r="F34" s="12">
        <v>6.18E8</v>
      </c>
      <c r="G34" s="12">
        <v>6.4E8</v>
      </c>
      <c r="H34" s="12">
        <v>6.59E8</v>
      </c>
      <c r="I34" s="12">
        <v>6.43E8</v>
      </c>
      <c r="J34" s="12">
        <v>5.81E8</v>
      </c>
      <c r="K34" s="12">
        <v>7.16E8</v>
      </c>
      <c r="L34" s="12">
        <v>8.19E8</v>
      </c>
      <c r="M34" s="12">
        <v>7.77E8</v>
      </c>
      <c r="T34" s="3"/>
      <c r="AB34" s="42"/>
      <c r="AC34" s="3"/>
      <c r="AL34" s="3"/>
      <c r="AT34" s="42"/>
      <c r="AU34" s="3"/>
      <c r="BC34" s="3"/>
      <c r="BK34" s="3"/>
      <c r="BS34" s="3"/>
    </row>
    <row r="35" ht="14.25" customHeight="1">
      <c r="A35" s="8" t="s">
        <v>13</v>
      </c>
      <c r="B35" s="12">
        <v>1.56E9</v>
      </c>
      <c r="C35" s="12">
        <v>1.49E9</v>
      </c>
      <c r="D35" s="12">
        <v>1.39E9</v>
      </c>
      <c r="E35" s="12">
        <v>1.64E9</v>
      </c>
      <c r="F35" s="12">
        <v>1.69E9</v>
      </c>
      <c r="G35" s="12">
        <v>1.7E9</v>
      </c>
      <c r="H35" s="12">
        <v>1.29E9</v>
      </c>
      <c r="I35" s="11">
        <v>1.24E9</v>
      </c>
      <c r="J35" s="12">
        <v>1.17E9</v>
      </c>
      <c r="K35" s="12">
        <v>1.42E9</v>
      </c>
      <c r="L35" s="12">
        <v>1.59E9</v>
      </c>
      <c r="M35" s="12">
        <v>1.47E9</v>
      </c>
      <c r="T35" s="3"/>
      <c r="AB35" s="42"/>
      <c r="AC35" s="3"/>
      <c r="AL35" s="3"/>
      <c r="AT35" s="42"/>
      <c r="AU35" s="3"/>
      <c r="BC35" s="3"/>
      <c r="BK35" s="3"/>
      <c r="BS35" s="3"/>
    </row>
    <row r="36" ht="14.25" customHeight="1">
      <c r="A36" s="8" t="s">
        <v>14</v>
      </c>
      <c r="B36" s="18">
        <v>5561476.0</v>
      </c>
      <c r="C36" s="17">
        <v>5228361.0</v>
      </c>
      <c r="D36" s="17">
        <v>4580415.0</v>
      </c>
      <c r="E36" s="17">
        <v>5973743.0</v>
      </c>
      <c r="F36" s="17">
        <v>7403797.0</v>
      </c>
      <c r="G36" s="17">
        <v>6807540.0</v>
      </c>
      <c r="H36" s="17">
        <v>7686033.0</v>
      </c>
      <c r="I36" s="17">
        <v>6579004.0</v>
      </c>
      <c r="J36" s="17">
        <v>5696680.0</v>
      </c>
      <c r="K36" s="17">
        <v>7838072.0</v>
      </c>
      <c r="L36" s="17">
        <v>9643943.0</v>
      </c>
      <c r="M36" s="17">
        <v>9470151.0</v>
      </c>
      <c r="T36" s="3"/>
      <c r="AB36" s="42"/>
      <c r="AC36" s="3"/>
      <c r="AL36" s="3"/>
      <c r="AT36" s="42"/>
      <c r="AU36" s="3"/>
      <c r="BC36" s="3"/>
      <c r="BK36" s="3"/>
      <c r="BS36" s="3"/>
    </row>
    <row r="37" ht="14.25" customHeight="1">
      <c r="A37" s="8" t="s">
        <v>16</v>
      </c>
      <c r="B37" s="12">
        <v>5.5E8</v>
      </c>
      <c r="C37" s="12">
        <v>5.38E8</v>
      </c>
      <c r="D37" s="12">
        <v>4.99E8</v>
      </c>
      <c r="E37" s="12">
        <v>6.16E8</v>
      </c>
      <c r="F37" s="12">
        <v>6.59E8</v>
      </c>
      <c r="G37" s="12">
        <v>6.77E8</v>
      </c>
      <c r="H37" s="12">
        <v>5.04E8</v>
      </c>
      <c r="I37" s="11">
        <v>4.75E8</v>
      </c>
      <c r="J37" s="12">
        <v>4.26E8</v>
      </c>
      <c r="K37" s="12">
        <v>5.68E8</v>
      </c>
      <c r="L37" s="12">
        <v>6.95E8</v>
      </c>
      <c r="M37" s="12">
        <v>6.4E8</v>
      </c>
      <c r="T37" s="3"/>
      <c r="AB37" s="42"/>
      <c r="AC37" s="3"/>
      <c r="AL37" s="3"/>
      <c r="AT37" s="42"/>
      <c r="AU37" s="3"/>
      <c r="BC37" s="3"/>
      <c r="BK37" s="3"/>
      <c r="BS37" s="3"/>
    </row>
    <row r="38" ht="14.25" customHeight="1">
      <c r="A38" s="8" t="s">
        <v>17</v>
      </c>
      <c r="B38" s="12">
        <v>3.46E8</v>
      </c>
      <c r="C38" s="12">
        <v>3.37E8</v>
      </c>
      <c r="D38" s="12">
        <v>3.12E8</v>
      </c>
      <c r="E38" s="12">
        <v>3.92E8</v>
      </c>
      <c r="F38" s="12">
        <v>4.24E8</v>
      </c>
      <c r="G38" s="12">
        <v>4.2E8</v>
      </c>
      <c r="H38" s="12">
        <v>3.91E8</v>
      </c>
      <c r="I38" s="12">
        <v>3.75E8</v>
      </c>
      <c r="J38" s="12">
        <v>3.3E8</v>
      </c>
      <c r="K38" s="12">
        <v>4.26E8</v>
      </c>
      <c r="L38" s="12">
        <v>4.99E8</v>
      </c>
      <c r="M38" s="12">
        <v>4.69E8</v>
      </c>
      <c r="T38" s="3"/>
      <c r="AA38" s="4"/>
      <c r="AB38" s="4"/>
      <c r="AC38" s="3"/>
      <c r="AK38" s="4"/>
      <c r="AL38" s="3"/>
      <c r="AS38" s="4"/>
      <c r="AT38" s="4"/>
      <c r="AU38" s="3"/>
      <c r="BB38" s="4"/>
      <c r="BC38" s="3"/>
      <c r="BJ38" s="4"/>
      <c r="BK38" s="3"/>
      <c r="BR38" s="4"/>
      <c r="BS38" s="3"/>
      <c r="BZ38" s="4"/>
    </row>
    <row r="39" ht="14.25" customHeight="1">
      <c r="A39" s="8" t="s">
        <v>18</v>
      </c>
      <c r="B39" s="12">
        <v>1.66E8</v>
      </c>
      <c r="C39" s="12">
        <v>1.61E8</v>
      </c>
      <c r="D39" s="12">
        <v>1.55E8</v>
      </c>
      <c r="E39" s="12">
        <v>1.9E8</v>
      </c>
      <c r="F39" s="12">
        <v>1.98E8</v>
      </c>
      <c r="G39" s="12">
        <v>1.98E8</v>
      </c>
      <c r="H39" s="12">
        <v>1.7E8</v>
      </c>
      <c r="I39" s="12">
        <v>1.59E8</v>
      </c>
      <c r="J39" s="12">
        <v>1.49E8</v>
      </c>
      <c r="K39" s="12">
        <v>1.87E8</v>
      </c>
      <c r="L39" s="12">
        <v>2.03E8</v>
      </c>
      <c r="M39" s="12">
        <v>1.93E8</v>
      </c>
      <c r="T39" s="3"/>
      <c r="AA39" s="4"/>
      <c r="AB39" s="4"/>
      <c r="AC39" s="3"/>
      <c r="AK39" s="4"/>
      <c r="AL39" s="3"/>
      <c r="AS39" s="4"/>
      <c r="AT39" s="4"/>
      <c r="AU39" s="3"/>
      <c r="BB39" s="4"/>
      <c r="BC39" s="3"/>
      <c r="BJ39" s="4"/>
      <c r="BK39" s="3"/>
      <c r="BR39" s="4"/>
      <c r="BS39" s="3"/>
      <c r="BZ39" s="4"/>
    </row>
    <row r="40" ht="14.25" customHeight="1">
      <c r="A40" s="8" t="s">
        <v>19</v>
      </c>
      <c r="B40" s="12">
        <v>3.11E8</v>
      </c>
      <c r="C40" s="12">
        <v>3.14E8</v>
      </c>
      <c r="D40" s="12">
        <v>3.19E8</v>
      </c>
      <c r="E40" s="12">
        <v>3.8E8</v>
      </c>
      <c r="F40" s="12">
        <v>4.0E8</v>
      </c>
      <c r="G40" s="12">
        <v>4.2E8</v>
      </c>
      <c r="H40" s="11">
        <v>2.79E8</v>
      </c>
      <c r="I40" s="12">
        <v>2.76E8</v>
      </c>
      <c r="J40" s="12">
        <v>2.9E8</v>
      </c>
      <c r="K40" s="12">
        <v>3.23E8</v>
      </c>
      <c r="L40" s="12">
        <v>3.56E8</v>
      </c>
      <c r="M40" s="12">
        <v>3.65E8</v>
      </c>
      <c r="T40" s="3"/>
      <c r="AA40" s="4"/>
      <c r="AB40" s="4"/>
      <c r="AC40" s="3"/>
      <c r="AK40" s="4"/>
      <c r="AL40" s="3"/>
      <c r="AS40" s="4"/>
      <c r="AT40" s="4"/>
      <c r="AU40" s="3"/>
      <c r="BB40" s="4"/>
      <c r="BC40" s="3"/>
      <c r="BJ40" s="4"/>
      <c r="BK40" s="3"/>
      <c r="BR40" s="4"/>
      <c r="BS40" s="3"/>
      <c r="BZ40" s="4"/>
    </row>
    <row r="41" ht="14.25" customHeight="1">
      <c r="A41" s="8" t="s">
        <v>20</v>
      </c>
      <c r="B41" s="12">
        <v>4.91E8</v>
      </c>
      <c r="C41" s="12">
        <v>4.68E8</v>
      </c>
      <c r="D41" s="12">
        <v>3.96E8</v>
      </c>
      <c r="E41" s="12">
        <v>4.71E8</v>
      </c>
      <c r="F41" s="12">
        <v>5.35E8</v>
      </c>
      <c r="G41" s="12">
        <v>5.21E8</v>
      </c>
      <c r="H41" s="12">
        <v>6.72E8</v>
      </c>
      <c r="I41" s="12">
        <v>6.92E8</v>
      </c>
      <c r="J41" s="12">
        <v>6.34E8</v>
      </c>
      <c r="K41" s="12">
        <v>6.88E8</v>
      </c>
      <c r="L41" s="12">
        <v>8.22E8</v>
      </c>
      <c r="M41" s="12">
        <v>7.92E8</v>
      </c>
      <c r="T41" s="3"/>
      <c r="AA41" s="4"/>
      <c r="AB41" s="4"/>
      <c r="AC41" s="3"/>
      <c r="AK41" s="4"/>
      <c r="AL41" s="3"/>
      <c r="AS41" s="4"/>
      <c r="AT41" s="4"/>
      <c r="AU41" s="3"/>
      <c r="BB41" s="4"/>
      <c r="BC41" s="3"/>
      <c r="BJ41" s="4"/>
      <c r="BK41" s="3"/>
      <c r="BR41" s="4"/>
      <c r="BS41" s="3"/>
      <c r="BZ41" s="4"/>
    </row>
    <row r="42" ht="14.25" customHeight="1">
      <c r="A42" s="8" t="s">
        <v>21</v>
      </c>
      <c r="B42" s="11">
        <v>1.67E9</v>
      </c>
      <c r="C42" s="12">
        <v>1.64E9</v>
      </c>
      <c r="D42" s="12">
        <v>1.43E9</v>
      </c>
      <c r="E42" s="12">
        <v>1.75E9</v>
      </c>
      <c r="F42" s="12">
        <v>2.06E9</v>
      </c>
      <c r="G42" s="12">
        <v>2.02E9</v>
      </c>
      <c r="H42" s="11">
        <v>2.61E9</v>
      </c>
      <c r="I42" s="12">
        <v>2.57E9</v>
      </c>
      <c r="J42" s="12">
        <v>2.41E9</v>
      </c>
      <c r="K42" s="12">
        <v>2.93E9</v>
      </c>
      <c r="L42" s="12">
        <v>3.37E9</v>
      </c>
      <c r="M42" s="12">
        <v>3.17E9</v>
      </c>
      <c r="T42" s="3"/>
      <c r="AA42" s="4"/>
      <c r="AB42" s="4"/>
      <c r="AC42" s="3"/>
      <c r="AK42" s="4"/>
      <c r="AL42" s="3"/>
      <c r="AS42" s="4"/>
      <c r="AT42" s="4"/>
      <c r="AU42" s="3"/>
      <c r="BB42" s="4"/>
      <c r="BC42" s="3"/>
      <c r="BJ42" s="4"/>
      <c r="BK42" s="3"/>
      <c r="BR42" s="4"/>
      <c r="BS42" s="3"/>
      <c r="BZ42" s="4"/>
    </row>
    <row r="43" ht="14.25" customHeight="1">
      <c r="A43" s="1" t="s">
        <v>51</v>
      </c>
      <c r="B43" s="1">
        <v>1.7589979029E10</v>
      </c>
      <c r="C43" s="1">
        <v>1.7814032484E10</v>
      </c>
      <c r="D43" s="1">
        <v>1.9384753989E10</v>
      </c>
      <c r="E43" s="1">
        <v>1.9618926996E10</v>
      </c>
      <c r="F43" s="1">
        <v>1.8827856013E10</v>
      </c>
      <c r="G43" s="1">
        <v>1.9120698758E10</v>
      </c>
      <c r="H43" s="1">
        <v>1.7515362832E10</v>
      </c>
      <c r="I43" s="1">
        <v>1.7702611132E10</v>
      </c>
      <c r="J43" s="1">
        <v>2.2250724814E10</v>
      </c>
      <c r="K43" s="1">
        <v>2.24826713E10</v>
      </c>
      <c r="L43" s="1">
        <v>2.4790423022E10</v>
      </c>
      <c r="M43" s="1">
        <v>2.5482701523E10</v>
      </c>
      <c r="T43" s="3"/>
      <c r="AA43" s="4"/>
      <c r="AB43" s="4"/>
      <c r="AC43" s="3"/>
      <c r="AK43" s="4"/>
      <c r="AL43" s="3"/>
      <c r="AS43" s="4"/>
      <c r="AT43" s="4"/>
      <c r="AU43" s="3"/>
      <c r="BB43" s="4"/>
      <c r="BC43" s="3"/>
      <c r="BJ43" s="4"/>
      <c r="BK43" s="3"/>
      <c r="BR43" s="4"/>
      <c r="BS43" s="3"/>
      <c r="BZ43" s="4"/>
    </row>
    <row r="44" ht="14.25" customHeight="1">
      <c r="T44" s="3"/>
      <c r="AA44" s="4"/>
      <c r="AB44" s="4"/>
      <c r="AC44" s="3"/>
      <c r="AK44" s="4"/>
      <c r="AL44" s="3"/>
      <c r="AS44" s="4"/>
      <c r="AT44" s="4"/>
      <c r="AU44" s="3"/>
      <c r="BB44" s="4"/>
      <c r="BC44" s="3"/>
      <c r="BJ44" s="4"/>
      <c r="BK44" s="3"/>
      <c r="BR44" s="4"/>
      <c r="BS44" s="3"/>
      <c r="BZ44" s="4"/>
    </row>
    <row r="45" ht="14.25" customHeight="1">
      <c r="T45" s="3"/>
      <c r="AA45" s="4"/>
      <c r="AB45" s="4"/>
      <c r="AC45" s="3"/>
      <c r="AK45" s="4"/>
      <c r="AL45" s="3"/>
      <c r="AS45" s="4"/>
      <c r="AT45" s="4"/>
      <c r="AU45" s="3"/>
      <c r="BB45" s="4"/>
      <c r="BC45" s="3"/>
      <c r="BJ45" s="4"/>
      <c r="BK45" s="3"/>
      <c r="BR45" s="4"/>
      <c r="BS45" s="3"/>
      <c r="BZ45" s="4"/>
    </row>
    <row r="46" ht="14.25" customHeight="1">
      <c r="T46" s="3"/>
      <c r="AA46" s="4"/>
      <c r="AB46" s="4"/>
      <c r="AC46" s="3"/>
      <c r="AK46" s="4"/>
      <c r="AL46" s="3"/>
      <c r="AS46" s="4"/>
      <c r="AT46" s="4"/>
      <c r="AU46" s="3"/>
      <c r="BB46" s="4"/>
      <c r="BC46" s="3"/>
      <c r="BJ46" s="4"/>
      <c r="BK46" s="3"/>
      <c r="BR46" s="4"/>
      <c r="BS46" s="3"/>
      <c r="BZ46" s="4"/>
    </row>
    <row r="47" ht="14.25" customHeight="1">
      <c r="T47" s="3"/>
      <c r="AA47" s="4"/>
      <c r="AB47" s="4"/>
      <c r="AC47" s="3"/>
      <c r="AK47" s="4"/>
      <c r="AL47" s="3"/>
      <c r="AS47" s="4"/>
      <c r="AT47" s="4"/>
      <c r="AU47" s="3"/>
      <c r="BB47" s="4"/>
      <c r="BC47" s="3"/>
      <c r="BJ47" s="4"/>
      <c r="BK47" s="3"/>
      <c r="BR47" s="4"/>
      <c r="BS47" s="3"/>
      <c r="BZ47" s="4"/>
    </row>
    <row r="48" ht="14.25" customHeight="1">
      <c r="T48" s="3"/>
      <c r="AA48" s="4"/>
      <c r="AB48" s="4"/>
      <c r="AC48" s="3"/>
      <c r="AK48" s="4"/>
      <c r="AL48" s="3"/>
      <c r="AS48" s="4"/>
      <c r="AT48" s="4"/>
      <c r="AU48" s="3"/>
      <c r="BB48" s="4"/>
      <c r="BC48" s="3"/>
      <c r="BJ48" s="4"/>
      <c r="BK48" s="3"/>
      <c r="BR48" s="4"/>
      <c r="BS48" s="3"/>
      <c r="BZ48" s="4"/>
    </row>
    <row r="49" ht="14.25" customHeight="1">
      <c r="T49" s="3"/>
      <c r="AA49" s="4"/>
      <c r="AB49" s="4"/>
      <c r="AC49" s="3"/>
      <c r="AK49" s="4"/>
      <c r="AL49" s="3"/>
      <c r="AS49" s="4"/>
      <c r="AT49" s="4"/>
      <c r="AU49" s="3"/>
      <c r="BB49" s="4"/>
      <c r="BC49" s="3"/>
      <c r="BJ49" s="4"/>
      <c r="BK49" s="3"/>
      <c r="BR49" s="4"/>
      <c r="BS49" s="3"/>
      <c r="BZ49" s="4"/>
    </row>
    <row r="50" ht="14.25" customHeight="1">
      <c r="T50" s="3"/>
      <c r="AA50" s="4"/>
      <c r="AB50" s="4"/>
      <c r="AC50" s="3"/>
      <c r="AK50" s="4"/>
      <c r="AL50" s="3"/>
      <c r="AS50" s="4"/>
      <c r="AT50" s="4"/>
      <c r="AU50" s="3"/>
      <c r="BB50" s="4"/>
      <c r="BC50" s="3"/>
      <c r="BJ50" s="4"/>
      <c r="BK50" s="3"/>
      <c r="BR50" s="4"/>
      <c r="BS50" s="3"/>
      <c r="BZ50" s="4"/>
    </row>
    <row r="51" ht="14.25" customHeight="1">
      <c r="T51" s="3"/>
      <c r="AA51" s="4"/>
      <c r="AB51" s="4"/>
      <c r="AC51" s="3"/>
      <c r="AK51" s="4"/>
      <c r="AL51" s="3"/>
      <c r="AS51" s="4"/>
      <c r="AT51" s="4"/>
      <c r="AU51" s="3"/>
      <c r="BB51" s="4"/>
      <c r="BC51" s="3"/>
      <c r="BJ51" s="4"/>
      <c r="BK51" s="3"/>
      <c r="BR51" s="4"/>
      <c r="BS51" s="3"/>
      <c r="BZ51" s="4"/>
    </row>
    <row r="52" ht="14.25" customHeight="1">
      <c r="T52" s="3"/>
      <c r="AA52" s="4"/>
      <c r="AB52" s="4"/>
      <c r="AC52" s="3"/>
      <c r="AK52" s="4"/>
      <c r="AL52" s="3"/>
      <c r="AS52" s="4"/>
      <c r="AT52" s="4"/>
      <c r="AU52" s="3"/>
      <c r="BB52" s="4"/>
      <c r="BC52" s="3"/>
      <c r="BJ52" s="4"/>
      <c r="BK52" s="3"/>
      <c r="BR52" s="4"/>
      <c r="BS52" s="3"/>
      <c r="BZ52" s="4"/>
    </row>
    <row r="53" ht="14.25" customHeight="1">
      <c r="T53" s="3"/>
      <c r="AA53" s="4"/>
      <c r="AB53" s="4"/>
      <c r="AC53" s="3"/>
      <c r="AK53" s="4"/>
      <c r="AL53" s="3"/>
      <c r="AS53" s="4"/>
      <c r="AT53" s="4"/>
      <c r="AU53" s="3"/>
      <c r="BB53" s="4"/>
      <c r="BC53" s="3"/>
      <c r="BJ53" s="4"/>
      <c r="BK53" s="3"/>
      <c r="BR53" s="4"/>
      <c r="BS53" s="3"/>
      <c r="BZ53" s="4"/>
    </row>
    <row r="54" ht="14.25" customHeight="1">
      <c r="T54" s="3"/>
      <c r="AA54" s="4"/>
      <c r="AB54" s="4"/>
      <c r="AC54" s="3"/>
      <c r="AK54" s="4"/>
      <c r="AL54" s="3"/>
      <c r="AS54" s="4"/>
      <c r="AT54" s="4"/>
      <c r="AU54" s="3"/>
      <c r="BB54" s="4"/>
      <c r="BC54" s="3"/>
      <c r="BJ54" s="4"/>
      <c r="BK54" s="3"/>
      <c r="BR54" s="4"/>
      <c r="BS54" s="3"/>
      <c r="BZ54" s="4"/>
    </row>
    <row r="55" ht="14.25" customHeight="1">
      <c r="T55" s="3"/>
      <c r="AA55" s="4"/>
      <c r="AB55" s="4"/>
      <c r="AC55" s="3"/>
      <c r="AK55" s="4"/>
      <c r="AL55" s="3"/>
      <c r="AS55" s="4"/>
      <c r="AT55" s="4"/>
      <c r="AU55" s="3"/>
      <c r="BB55" s="4"/>
      <c r="BC55" s="3"/>
      <c r="BJ55" s="4"/>
      <c r="BK55" s="3"/>
      <c r="BR55" s="4"/>
      <c r="BS55" s="3"/>
      <c r="BZ55" s="4"/>
    </row>
    <row r="56" ht="14.25" customHeight="1">
      <c r="A56" s="3" t="s">
        <v>52</v>
      </c>
      <c r="B56" s="3" t="s">
        <v>67</v>
      </c>
      <c r="H56" s="3" t="s">
        <v>68</v>
      </c>
      <c r="T56" s="3"/>
      <c r="AA56" s="4"/>
      <c r="AB56" s="4"/>
      <c r="AC56" s="3"/>
      <c r="AK56" s="4"/>
      <c r="AL56" s="3"/>
      <c r="AS56" s="4"/>
      <c r="AT56" s="4"/>
      <c r="AU56" s="3"/>
      <c r="BB56" s="4"/>
      <c r="BC56" s="3"/>
      <c r="BJ56" s="4"/>
      <c r="BK56" s="3"/>
      <c r="BR56" s="4"/>
      <c r="BS56" s="3"/>
      <c r="BZ56" s="4"/>
    </row>
    <row r="57" ht="14.25" customHeight="1">
      <c r="A57" s="1" t="s">
        <v>32</v>
      </c>
      <c r="B57" s="1">
        <v>2018.0</v>
      </c>
      <c r="C57" s="1">
        <f t="shared" ref="C57:G57" si="99">+B57+1</f>
        <v>2019</v>
      </c>
      <c r="D57" s="1">
        <f t="shared" si="99"/>
        <v>2020</v>
      </c>
      <c r="E57" s="1">
        <f t="shared" si="99"/>
        <v>2021</v>
      </c>
      <c r="F57" s="1">
        <f t="shared" si="99"/>
        <v>2022</v>
      </c>
      <c r="G57" s="1">
        <f t="shared" si="99"/>
        <v>2023</v>
      </c>
      <c r="H57" s="1">
        <v>2018.0</v>
      </c>
      <c r="I57" s="1">
        <f t="shared" ref="I57:M57" si="100">+H57+1</f>
        <v>2019</v>
      </c>
      <c r="J57" s="1">
        <f t="shared" si="100"/>
        <v>2020</v>
      </c>
      <c r="K57" s="1">
        <f t="shared" si="100"/>
        <v>2021</v>
      </c>
      <c r="L57" s="1">
        <f t="shared" si="100"/>
        <v>2022</v>
      </c>
      <c r="M57" s="1">
        <f t="shared" si="100"/>
        <v>2023</v>
      </c>
      <c r="T57" s="3"/>
      <c r="AA57" s="4"/>
      <c r="AB57" s="4"/>
      <c r="AC57" s="3"/>
      <c r="AK57" s="4"/>
      <c r="AL57" s="3"/>
      <c r="AS57" s="4"/>
      <c r="AT57" s="4"/>
      <c r="AU57" s="3"/>
      <c r="BB57" s="4"/>
      <c r="BC57" s="3"/>
      <c r="BJ57" s="4"/>
      <c r="BK57" s="3"/>
      <c r="BR57" s="4"/>
      <c r="BS57" s="3"/>
      <c r="BZ57" s="4"/>
    </row>
    <row r="58" ht="14.25" customHeight="1">
      <c r="A58" s="1" t="s">
        <v>69</v>
      </c>
      <c r="B58" s="17">
        <v>0.143</v>
      </c>
      <c r="C58" s="17">
        <v>0.134</v>
      </c>
      <c r="D58" s="18">
        <v>0.127</v>
      </c>
      <c r="E58" s="17">
        <v>0.128</v>
      </c>
      <c r="F58" s="17">
        <v>0.126</v>
      </c>
      <c r="G58" s="17">
        <v>0.119</v>
      </c>
      <c r="H58" s="17">
        <v>0.517</v>
      </c>
      <c r="I58" s="17">
        <v>0.516</v>
      </c>
      <c r="J58" s="17">
        <v>0.522</v>
      </c>
      <c r="K58" s="17">
        <v>0.518</v>
      </c>
      <c r="L58" s="17">
        <v>0.511</v>
      </c>
      <c r="M58" s="17">
        <v>0.511</v>
      </c>
      <c r="T58" s="3"/>
      <c r="AA58" s="4"/>
      <c r="AB58" s="4"/>
      <c r="AC58" s="3"/>
      <c r="AK58" s="4"/>
      <c r="AL58" s="3"/>
      <c r="AS58" s="4"/>
      <c r="AT58" s="4"/>
      <c r="AU58" s="3"/>
      <c r="BB58" s="4"/>
      <c r="BC58" s="3"/>
      <c r="BJ58" s="4"/>
      <c r="BK58" s="3"/>
      <c r="BR58" s="4"/>
      <c r="BS58" s="3"/>
      <c r="BZ58" s="4"/>
    </row>
    <row r="59" ht="14.25" customHeight="1">
      <c r="A59" s="1" t="s">
        <v>70</v>
      </c>
      <c r="B59" s="17">
        <v>0.089</v>
      </c>
      <c r="C59" s="17">
        <v>0.093</v>
      </c>
      <c r="D59" s="17">
        <v>0.08</v>
      </c>
      <c r="E59" s="17">
        <v>0.068</v>
      </c>
      <c r="F59" s="17">
        <v>0.065</v>
      </c>
      <c r="G59" s="17">
        <v>0.07</v>
      </c>
      <c r="H59" s="17">
        <v>0.333</v>
      </c>
      <c r="I59" s="17">
        <v>0.335</v>
      </c>
      <c r="J59" s="17">
        <v>0.33</v>
      </c>
      <c r="K59" s="17">
        <v>0.329</v>
      </c>
      <c r="L59" s="17">
        <v>0.332</v>
      </c>
      <c r="M59" s="17">
        <v>0.317</v>
      </c>
      <c r="T59" s="3"/>
      <c r="AA59" s="4"/>
      <c r="AB59" s="4"/>
      <c r="AC59" s="3"/>
      <c r="AK59" s="4"/>
      <c r="AL59" s="3"/>
      <c r="AS59" s="4"/>
      <c r="AT59" s="4"/>
      <c r="AU59" s="3"/>
      <c r="BB59" s="4"/>
      <c r="BC59" s="3"/>
      <c r="BJ59" s="4"/>
      <c r="BK59" s="3"/>
      <c r="BR59" s="4"/>
      <c r="BS59" s="3"/>
      <c r="BZ59" s="4"/>
    </row>
    <row r="60" ht="14.25" customHeight="1">
      <c r="A60" s="1" t="s">
        <v>71</v>
      </c>
      <c r="B60" s="18">
        <v>0.093</v>
      </c>
      <c r="C60" s="17">
        <v>0.091</v>
      </c>
      <c r="D60" s="17">
        <v>0.085</v>
      </c>
      <c r="E60" s="17">
        <v>0.082</v>
      </c>
      <c r="F60" s="17">
        <v>0.088</v>
      </c>
      <c r="G60" s="17">
        <v>0.097</v>
      </c>
      <c r="H60" s="17">
        <v>0.311</v>
      </c>
      <c r="I60" s="17">
        <v>0.304</v>
      </c>
      <c r="J60" s="17">
        <v>0.293</v>
      </c>
      <c r="K60" s="17">
        <v>0.303</v>
      </c>
      <c r="L60" s="17">
        <v>0.325</v>
      </c>
      <c r="M60" s="17">
        <v>0.309</v>
      </c>
      <c r="T60" s="3"/>
      <c r="AA60" s="4"/>
      <c r="AB60" s="4"/>
      <c r="AC60" s="3"/>
      <c r="AK60" s="4"/>
      <c r="AL60" s="3"/>
      <c r="AS60" s="4"/>
      <c r="AT60" s="4"/>
      <c r="AU60" s="3"/>
      <c r="BB60" s="4"/>
      <c r="BC60" s="3"/>
      <c r="BJ60" s="4"/>
      <c r="BK60" s="3"/>
      <c r="BR60" s="4"/>
      <c r="BS60" s="3"/>
      <c r="BZ60" s="4"/>
    </row>
    <row r="61" ht="14.25" customHeight="1">
      <c r="A61" s="1" t="s">
        <v>72</v>
      </c>
      <c r="B61" s="17">
        <v>0.46</v>
      </c>
      <c r="C61" s="17">
        <v>0.442</v>
      </c>
      <c r="D61" s="18">
        <v>0.466</v>
      </c>
      <c r="E61" s="17">
        <v>0.48</v>
      </c>
      <c r="F61" s="17">
        <v>0.466</v>
      </c>
      <c r="G61" s="17">
        <v>0.432</v>
      </c>
      <c r="H61" s="17">
        <v>0.793</v>
      </c>
      <c r="I61" s="17">
        <v>0.793</v>
      </c>
      <c r="J61" s="18">
        <v>0.824</v>
      </c>
      <c r="K61" s="17">
        <v>0.8</v>
      </c>
      <c r="L61" s="17">
        <v>0.783</v>
      </c>
      <c r="M61" s="17">
        <v>0.794</v>
      </c>
      <c r="T61" s="3"/>
      <c r="AA61" s="4"/>
      <c r="AB61" s="4"/>
      <c r="AC61" s="3"/>
      <c r="AK61" s="4"/>
      <c r="AL61" s="3"/>
      <c r="AS61" s="4"/>
      <c r="AT61" s="4"/>
      <c r="AU61" s="3"/>
      <c r="BB61" s="4"/>
      <c r="BC61" s="3"/>
      <c r="BJ61" s="4"/>
      <c r="BK61" s="3"/>
      <c r="BR61" s="4"/>
      <c r="BS61" s="3"/>
      <c r="BZ61" s="4"/>
    </row>
    <row r="62" ht="14.25" customHeight="1">
      <c r="A62" s="1" t="s">
        <v>73</v>
      </c>
      <c r="B62" s="17">
        <v>0.053</v>
      </c>
      <c r="C62" s="17">
        <v>0.056</v>
      </c>
      <c r="D62" s="17">
        <v>0.058</v>
      </c>
      <c r="E62" s="17">
        <v>0.053</v>
      </c>
      <c r="F62" s="18">
        <v>0.06</v>
      </c>
      <c r="G62" s="17">
        <v>0.062</v>
      </c>
      <c r="H62" s="17">
        <v>0.357</v>
      </c>
      <c r="I62" s="17">
        <v>0.355</v>
      </c>
      <c r="J62" s="18">
        <v>0.345</v>
      </c>
      <c r="K62" s="17">
        <v>0.353</v>
      </c>
      <c r="L62" s="17">
        <v>0.366</v>
      </c>
      <c r="M62" s="17">
        <v>0.354</v>
      </c>
      <c r="T62" s="3"/>
      <c r="AA62" s="4"/>
      <c r="AB62" s="4"/>
      <c r="AC62" s="3"/>
      <c r="AK62" s="4"/>
      <c r="AL62" s="3"/>
      <c r="AS62" s="4"/>
      <c r="AT62" s="4"/>
      <c r="AU62" s="3"/>
      <c r="BB62" s="4"/>
      <c r="BC62" s="3"/>
      <c r="BJ62" s="4"/>
      <c r="BK62" s="3"/>
      <c r="BR62" s="4"/>
      <c r="BS62" s="3"/>
      <c r="BZ62" s="4"/>
    </row>
    <row r="63" ht="14.25" customHeight="1">
      <c r="A63" s="1" t="s">
        <v>74</v>
      </c>
      <c r="B63" s="17">
        <v>0.097</v>
      </c>
      <c r="C63" s="17">
        <v>0.099</v>
      </c>
      <c r="D63" s="17">
        <v>0.099</v>
      </c>
      <c r="E63" s="17">
        <v>0.089</v>
      </c>
      <c r="F63" s="17">
        <v>0.09</v>
      </c>
      <c r="G63" s="17">
        <v>0.092</v>
      </c>
      <c r="H63" s="17">
        <v>0.341</v>
      </c>
      <c r="I63" s="17">
        <v>0.342</v>
      </c>
      <c r="J63" s="17">
        <v>0.358</v>
      </c>
      <c r="K63" s="17">
        <v>0.355</v>
      </c>
      <c r="L63" s="17">
        <v>0.354</v>
      </c>
      <c r="M63" s="17">
        <v>0.328</v>
      </c>
      <c r="T63" s="3"/>
      <c r="AA63" s="4"/>
      <c r="AB63" s="4"/>
      <c r="AC63" s="3"/>
      <c r="AK63" s="4"/>
      <c r="AL63" s="3"/>
      <c r="AS63" s="4"/>
      <c r="AT63" s="4"/>
      <c r="AU63" s="3"/>
      <c r="BB63" s="4"/>
      <c r="BC63" s="3"/>
      <c r="BJ63" s="4"/>
      <c r="BK63" s="3"/>
      <c r="BR63" s="4"/>
      <c r="BS63" s="3"/>
      <c r="BZ63" s="4"/>
    </row>
    <row r="64" ht="14.25" customHeight="1">
      <c r="A64" s="1" t="s">
        <v>10</v>
      </c>
      <c r="B64" s="17">
        <v>0.097</v>
      </c>
      <c r="C64" s="17">
        <v>0.096</v>
      </c>
      <c r="D64" s="17">
        <v>0.093</v>
      </c>
      <c r="E64" s="17">
        <v>0.088</v>
      </c>
      <c r="F64" s="17">
        <v>0.092</v>
      </c>
      <c r="G64" s="17">
        <v>0.095</v>
      </c>
      <c r="H64" s="17">
        <v>0.361</v>
      </c>
      <c r="I64" s="17">
        <v>0.354</v>
      </c>
      <c r="J64" s="17">
        <v>0.347</v>
      </c>
      <c r="K64" s="17">
        <v>0.353</v>
      </c>
      <c r="L64" s="17">
        <v>0.37</v>
      </c>
      <c r="M64" s="17">
        <v>0.348</v>
      </c>
      <c r="T64" s="3"/>
      <c r="AA64" s="4"/>
      <c r="AB64" s="4"/>
      <c r="AC64" s="3"/>
      <c r="AK64" s="4"/>
      <c r="AL64" s="3"/>
      <c r="AS64" s="4"/>
      <c r="AT64" s="4"/>
      <c r="AU64" s="3"/>
      <c r="BB64" s="4"/>
      <c r="BC64" s="3"/>
      <c r="BJ64" s="4"/>
      <c r="BK64" s="3"/>
      <c r="BR64" s="4"/>
      <c r="BS64" s="3"/>
      <c r="BZ64" s="4"/>
    </row>
    <row r="65" ht="14.25" customHeight="1">
      <c r="A65" s="1" t="s">
        <v>13</v>
      </c>
      <c r="B65" s="17">
        <v>0.246</v>
      </c>
      <c r="C65" s="17">
        <v>0.25</v>
      </c>
      <c r="D65" s="17">
        <v>0.273</v>
      </c>
      <c r="E65" s="18">
        <v>0.271</v>
      </c>
      <c r="F65" s="17">
        <v>0.28</v>
      </c>
      <c r="G65" s="17">
        <v>0.286</v>
      </c>
      <c r="H65" s="17">
        <v>0.636</v>
      </c>
      <c r="I65" s="17">
        <v>0.64</v>
      </c>
      <c r="J65" s="17">
        <v>0.644</v>
      </c>
      <c r="K65" s="17">
        <v>0.66</v>
      </c>
      <c r="L65" s="17">
        <v>0.674</v>
      </c>
      <c r="M65" s="17">
        <v>0.671</v>
      </c>
      <c r="T65" s="3"/>
      <c r="AA65" s="4"/>
      <c r="AB65" s="4"/>
      <c r="AC65" s="3"/>
      <c r="AK65" s="4"/>
      <c r="AL65" s="3"/>
      <c r="AS65" s="4"/>
      <c r="AT65" s="4"/>
      <c r="AU65" s="3"/>
      <c r="BB65" s="4"/>
      <c r="BC65" s="3"/>
      <c r="BJ65" s="4"/>
      <c r="BK65" s="3"/>
      <c r="BR65" s="4"/>
      <c r="BS65" s="3"/>
      <c r="BZ65" s="4"/>
    </row>
    <row r="66" ht="14.25" customHeight="1">
      <c r="A66" s="1" t="s">
        <v>75</v>
      </c>
      <c r="B66" s="17">
        <v>0.112</v>
      </c>
      <c r="C66" s="17">
        <v>0.105</v>
      </c>
      <c r="D66" s="17">
        <v>0.097</v>
      </c>
      <c r="E66" s="17">
        <v>0.114</v>
      </c>
      <c r="F66" s="17">
        <v>0.14</v>
      </c>
      <c r="G66" s="17">
        <v>0.139</v>
      </c>
      <c r="H66" s="17">
        <v>0.324</v>
      </c>
      <c r="I66" s="17">
        <v>0.32</v>
      </c>
      <c r="J66" s="17">
        <v>0.323</v>
      </c>
      <c r="K66" s="17">
        <v>0.365</v>
      </c>
      <c r="L66" s="17">
        <v>0.372</v>
      </c>
      <c r="M66" s="17">
        <v>0.368</v>
      </c>
      <c r="T66" s="3"/>
      <c r="AA66" s="4"/>
      <c r="AB66" s="4"/>
      <c r="AC66" s="3"/>
      <c r="AK66" s="4"/>
      <c r="AL66" s="3"/>
      <c r="AS66" s="4"/>
      <c r="AT66" s="4"/>
      <c r="AU66" s="3"/>
      <c r="BB66" s="4"/>
      <c r="BC66" s="3"/>
      <c r="BJ66" s="4"/>
      <c r="BK66" s="3"/>
      <c r="BR66" s="4"/>
      <c r="BS66" s="3"/>
      <c r="BZ66" s="4"/>
    </row>
    <row r="67" ht="14.25" customHeight="1">
      <c r="A67" s="1" t="s">
        <v>76</v>
      </c>
      <c r="B67" s="17">
        <v>0.099</v>
      </c>
      <c r="C67" s="17">
        <v>0.101</v>
      </c>
      <c r="D67" s="17">
        <v>0.083</v>
      </c>
      <c r="E67" s="17">
        <v>0.083</v>
      </c>
      <c r="F67" s="17">
        <v>0.094</v>
      </c>
      <c r="G67" s="17">
        <v>0.097</v>
      </c>
      <c r="H67" s="17">
        <v>0.24</v>
      </c>
      <c r="I67" s="17">
        <v>0.23</v>
      </c>
      <c r="J67" s="17">
        <v>0.232</v>
      </c>
      <c r="K67" s="17">
        <v>0.228</v>
      </c>
      <c r="L67" s="17">
        <v>0.219</v>
      </c>
      <c r="M67" s="17">
        <v>0.224</v>
      </c>
      <c r="T67" s="3"/>
      <c r="AA67" s="4"/>
      <c r="AB67" s="4"/>
      <c r="AC67" s="3"/>
      <c r="AK67" s="4"/>
      <c r="AL67" s="3"/>
      <c r="AS67" s="4"/>
      <c r="AT67" s="4"/>
      <c r="AU67" s="3"/>
      <c r="BB67" s="4"/>
      <c r="BC67" s="3"/>
      <c r="BJ67" s="4"/>
      <c r="BK67" s="3"/>
      <c r="BR67" s="4"/>
      <c r="BS67" s="3"/>
      <c r="BZ67" s="4"/>
    </row>
    <row r="68" ht="14.25" customHeight="1">
      <c r="A68" s="1" t="s">
        <v>51</v>
      </c>
      <c r="B68" s="17">
        <v>0.07</v>
      </c>
      <c r="C68" s="17">
        <v>0.068</v>
      </c>
      <c r="D68" s="17">
        <v>0.063</v>
      </c>
      <c r="E68" s="17">
        <v>0.064</v>
      </c>
      <c r="F68" s="17">
        <v>0.073</v>
      </c>
      <c r="G68" s="17">
        <v>0.069</v>
      </c>
      <c r="H68" s="1">
        <v>0.0</v>
      </c>
      <c r="I68" s="1">
        <v>0.0</v>
      </c>
      <c r="J68" s="1">
        <v>0.0</v>
      </c>
      <c r="K68" s="1">
        <v>0.0</v>
      </c>
      <c r="L68" s="1">
        <v>0.0</v>
      </c>
      <c r="M68" s="1">
        <v>0.0</v>
      </c>
      <c r="T68" s="3"/>
      <c r="AA68" s="4"/>
      <c r="AB68" s="4"/>
      <c r="AC68" s="3"/>
      <c r="AK68" s="4"/>
      <c r="AL68" s="3"/>
      <c r="AS68" s="4"/>
      <c r="AT68" s="4"/>
      <c r="AU68" s="3"/>
      <c r="BB68" s="4"/>
      <c r="BC68" s="3"/>
      <c r="BJ68" s="4"/>
      <c r="BK68" s="3"/>
      <c r="BR68" s="4"/>
      <c r="BS68" s="3"/>
      <c r="BZ68" s="4"/>
    </row>
    <row r="69" ht="14.25" customHeight="1">
      <c r="T69" s="3"/>
      <c r="AA69" s="4"/>
      <c r="AB69" s="4"/>
      <c r="AC69" s="3"/>
      <c r="AK69" s="4"/>
      <c r="AL69" s="3"/>
      <c r="AS69" s="4"/>
      <c r="AT69" s="4"/>
      <c r="AU69" s="3"/>
      <c r="BB69" s="4"/>
      <c r="BC69" s="3"/>
      <c r="BJ69" s="4"/>
      <c r="BK69" s="3"/>
      <c r="BR69" s="4"/>
      <c r="BS69" s="3"/>
      <c r="BZ69" s="4"/>
    </row>
    <row r="70" ht="14.25" customHeight="1">
      <c r="T70" s="3"/>
      <c r="AA70" s="4"/>
      <c r="AB70" s="4"/>
      <c r="AC70" s="3"/>
      <c r="AK70" s="4"/>
      <c r="AL70" s="3"/>
      <c r="AS70" s="4"/>
      <c r="AT70" s="4"/>
      <c r="AU70" s="3"/>
      <c r="BB70" s="4"/>
      <c r="BC70" s="3"/>
      <c r="BJ70" s="4"/>
      <c r="BK70" s="3"/>
      <c r="BR70" s="4"/>
      <c r="BS70" s="3"/>
      <c r="BZ70" s="4"/>
    </row>
    <row r="71" ht="14.25" customHeight="1">
      <c r="T71" s="3"/>
      <c r="AA71" s="4"/>
      <c r="AB71" s="4"/>
      <c r="AC71" s="3"/>
      <c r="AK71" s="4"/>
      <c r="AL71" s="3"/>
      <c r="AS71" s="4"/>
      <c r="AT71" s="4"/>
      <c r="AU71" s="3"/>
      <c r="BB71" s="4"/>
      <c r="BC71" s="3"/>
      <c r="BJ71" s="4"/>
      <c r="BK71" s="3"/>
      <c r="BR71" s="4"/>
      <c r="BS71" s="3"/>
      <c r="BZ71" s="4"/>
    </row>
    <row r="72" ht="14.25" customHeight="1">
      <c r="T72" s="3"/>
      <c r="AA72" s="4"/>
      <c r="AB72" s="4"/>
      <c r="AC72" s="3"/>
      <c r="AK72" s="4"/>
      <c r="AL72" s="3"/>
      <c r="AS72" s="4"/>
      <c r="AT72" s="4"/>
      <c r="AU72" s="3"/>
      <c r="BB72" s="4"/>
      <c r="BC72" s="3"/>
      <c r="BJ72" s="4"/>
      <c r="BK72" s="3"/>
      <c r="BR72" s="4"/>
      <c r="BS72" s="3"/>
      <c r="BZ72" s="4"/>
    </row>
    <row r="73" ht="14.25" customHeight="1">
      <c r="T73" s="3"/>
      <c r="AA73" s="4"/>
      <c r="AB73" s="4"/>
      <c r="AC73" s="3"/>
      <c r="AK73" s="4"/>
      <c r="AL73" s="3"/>
      <c r="AS73" s="4"/>
      <c r="AT73" s="4"/>
      <c r="AU73" s="3"/>
      <c r="BB73" s="4"/>
      <c r="BC73" s="3"/>
      <c r="BJ73" s="4"/>
      <c r="BK73" s="3"/>
      <c r="BR73" s="4"/>
      <c r="BS73" s="3"/>
      <c r="BZ73" s="4"/>
    </row>
    <row r="74" ht="14.25" customHeight="1">
      <c r="T74" s="3"/>
      <c r="AA74" s="4"/>
      <c r="AB74" s="4"/>
      <c r="AC74" s="3"/>
      <c r="AK74" s="4"/>
      <c r="AL74" s="3"/>
      <c r="AS74" s="4"/>
      <c r="AT74" s="4"/>
      <c r="AU74" s="3"/>
      <c r="BB74" s="4"/>
      <c r="BC74" s="3"/>
      <c r="BJ74" s="4"/>
      <c r="BK74" s="3"/>
      <c r="BR74" s="4"/>
      <c r="BS74" s="3"/>
      <c r="BZ74" s="4"/>
    </row>
    <row r="75" ht="14.25" customHeight="1">
      <c r="T75" s="3"/>
      <c r="AA75" s="4"/>
      <c r="AB75" s="4"/>
      <c r="AC75" s="3"/>
      <c r="AK75" s="4"/>
      <c r="AL75" s="3"/>
      <c r="AS75" s="4"/>
      <c r="AT75" s="4"/>
      <c r="AU75" s="3"/>
      <c r="BB75" s="4"/>
      <c r="BC75" s="3"/>
      <c r="BJ75" s="4"/>
      <c r="BK75" s="3"/>
      <c r="BR75" s="4"/>
      <c r="BS75" s="3"/>
      <c r="BZ75" s="4"/>
    </row>
    <row r="76" ht="14.25" customHeight="1">
      <c r="T76" s="3"/>
      <c r="AA76" s="4"/>
      <c r="AB76" s="4"/>
      <c r="AC76" s="3"/>
      <c r="AK76" s="4"/>
      <c r="AL76" s="3"/>
      <c r="AS76" s="4"/>
      <c r="AT76" s="4"/>
      <c r="AU76" s="3"/>
      <c r="BB76" s="4"/>
      <c r="BC76" s="3"/>
      <c r="BJ76" s="4"/>
      <c r="BK76" s="3"/>
      <c r="BR76" s="4"/>
      <c r="BS76" s="3"/>
      <c r="BZ76" s="4"/>
    </row>
    <row r="77" ht="14.25" customHeight="1">
      <c r="T77" s="3"/>
      <c r="AA77" s="4"/>
      <c r="AB77" s="4"/>
      <c r="AC77" s="3"/>
      <c r="AK77" s="4"/>
      <c r="AL77" s="3"/>
      <c r="AS77" s="4"/>
      <c r="AT77" s="4"/>
      <c r="AU77" s="3"/>
      <c r="BB77" s="4"/>
      <c r="BC77" s="3"/>
      <c r="BJ77" s="4"/>
      <c r="BK77" s="3"/>
      <c r="BR77" s="4"/>
      <c r="BS77" s="3"/>
      <c r="BZ77" s="4"/>
    </row>
    <row r="78" ht="14.25" customHeight="1">
      <c r="T78" s="3"/>
      <c r="AA78" s="4"/>
      <c r="AB78" s="4"/>
      <c r="AC78" s="3"/>
      <c r="AK78" s="4"/>
      <c r="AL78" s="3"/>
      <c r="AS78" s="4"/>
      <c r="AT78" s="4"/>
      <c r="AU78" s="3"/>
      <c r="BB78" s="4"/>
      <c r="BC78" s="3"/>
      <c r="BJ78" s="4"/>
      <c r="BK78" s="3"/>
      <c r="BR78" s="4"/>
      <c r="BS78" s="3"/>
      <c r="BZ78" s="4"/>
    </row>
    <row r="79" ht="14.25" customHeight="1">
      <c r="T79" s="3"/>
      <c r="AA79" s="4"/>
      <c r="AB79" s="4"/>
      <c r="AC79" s="3"/>
      <c r="AK79" s="4"/>
      <c r="AL79" s="3"/>
      <c r="AS79" s="4"/>
      <c r="AT79" s="4"/>
      <c r="AU79" s="3"/>
      <c r="BB79" s="4"/>
      <c r="BC79" s="3"/>
      <c r="BJ79" s="4"/>
      <c r="BK79" s="3"/>
      <c r="BR79" s="4"/>
      <c r="BS79" s="3"/>
      <c r="BZ79" s="4"/>
    </row>
    <row r="80" ht="14.25" customHeight="1">
      <c r="T80" s="3"/>
      <c r="AA80" s="4"/>
      <c r="AB80" s="4"/>
      <c r="AC80" s="3"/>
      <c r="AK80" s="4"/>
      <c r="AL80" s="3"/>
      <c r="AS80" s="4"/>
      <c r="AT80" s="4"/>
      <c r="AU80" s="3"/>
      <c r="BB80" s="4"/>
      <c r="BC80" s="3"/>
      <c r="BJ80" s="4"/>
      <c r="BK80" s="3"/>
      <c r="BR80" s="4"/>
      <c r="BS80" s="3"/>
      <c r="BZ80" s="4"/>
    </row>
    <row r="81" ht="14.25" customHeight="1">
      <c r="T81" s="3"/>
      <c r="AA81" s="4"/>
      <c r="AB81" s="4"/>
      <c r="AC81" s="3"/>
      <c r="AK81" s="4"/>
      <c r="AL81" s="3"/>
      <c r="AS81" s="4"/>
      <c r="AT81" s="4"/>
      <c r="AU81" s="3"/>
      <c r="BB81" s="4"/>
      <c r="BC81" s="3"/>
      <c r="BJ81" s="4"/>
      <c r="BK81" s="3"/>
      <c r="BR81" s="4"/>
      <c r="BS81" s="3"/>
      <c r="BZ81" s="4"/>
    </row>
    <row r="82" ht="14.25" customHeight="1">
      <c r="T82" s="3"/>
      <c r="AA82" s="4"/>
      <c r="AB82" s="4"/>
      <c r="AC82" s="3"/>
      <c r="AK82" s="4"/>
      <c r="AL82" s="3"/>
      <c r="AS82" s="4"/>
      <c r="AT82" s="4"/>
      <c r="AU82" s="3"/>
      <c r="BB82" s="4"/>
      <c r="BC82" s="3"/>
      <c r="BJ82" s="4"/>
      <c r="BK82" s="3"/>
      <c r="BR82" s="4"/>
      <c r="BS82" s="3"/>
      <c r="BZ82" s="4"/>
    </row>
    <row r="83" ht="14.25" customHeight="1">
      <c r="T83" s="3"/>
      <c r="AA83" s="4"/>
      <c r="AB83" s="4"/>
      <c r="AC83" s="3"/>
      <c r="AK83" s="4"/>
      <c r="AL83" s="3"/>
      <c r="AS83" s="4"/>
      <c r="AT83" s="4"/>
      <c r="AU83" s="3"/>
      <c r="BB83" s="4"/>
      <c r="BC83" s="3"/>
      <c r="BJ83" s="4"/>
      <c r="BK83" s="3"/>
      <c r="BR83" s="4"/>
      <c r="BS83" s="3"/>
      <c r="BZ83" s="4"/>
    </row>
    <row r="84" ht="14.25" customHeight="1">
      <c r="T84" s="3"/>
      <c r="AA84" s="4"/>
      <c r="AB84" s="4"/>
      <c r="AC84" s="3"/>
      <c r="AK84" s="4"/>
      <c r="AL84" s="3"/>
      <c r="AS84" s="4"/>
      <c r="AT84" s="4"/>
      <c r="AU84" s="3"/>
      <c r="BB84" s="4"/>
      <c r="BC84" s="3"/>
      <c r="BJ84" s="4"/>
      <c r="BK84" s="3"/>
      <c r="BR84" s="4"/>
      <c r="BS84" s="3"/>
      <c r="BZ84" s="4"/>
    </row>
    <row r="85" ht="14.25" customHeight="1">
      <c r="T85" s="3"/>
      <c r="AA85" s="4"/>
      <c r="AB85" s="4"/>
      <c r="AC85" s="3"/>
      <c r="AK85" s="4"/>
      <c r="AL85" s="3"/>
      <c r="AS85" s="4"/>
      <c r="AT85" s="4"/>
      <c r="AU85" s="3"/>
      <c r="BB85" s="4"/>
      <c r="BC85" s="3"/>
      <c r="BJ85" s="4"/>
      <c r="BK85" s="3"/>
      <c r="BR85" s="4"/>
      <c r="BS85" s="3"/>
      <c r="BZ85" s="4"/>
    </row>
    <row r="86" ht="14.25" customHeight="1">
      <c r="T86" s="3"/>
      <c r="AA86" s="4"/>
      <c r="AB86" s="4"/>
      <c r="AC86" s="3"/>
      <c r="AK86" s="4"/>
      <c r="AL86" s="3"/>
      <c r="AS86" s="4"/>
      <c r="AT86" s="4"/>
      <c r="AU86" s="3"/>
      <c r="BB86" s="4"/>
      <c r="BC86" s="3"/>
      <c r="BJ86" s="4"/>
      <c r="BK86" s="3"/>
      <c r="BR86" s="4"/>
      <c r="BS86" s="3"/>
      <c r="BZ86" s="4"/>
    </row>
    <row r="87" ht="14.25" customHeight="1">
      <c r="T87" s="3"/>
      <c r="AA87" s="4"/>
      <c r="AB87" s="4"/>
      <c r="AC87" s="3"/>
      <c r="AK87" s="4"/>
      <c r="AL87" s="3"/>
      <c r="AS87" s="4"/>
      <c r="AT87" s="4"/>
      <c r="AU87" s="3"/>
      <c r="BB87" s="4"/>
      <c r="BC87" s="3"/>
      <c r="BJ87" s="4"/>
      <c r="BK87" s="3"/>
      <c r="BR87" s="4"/>
      <c r="BS87" s="3"/>
      <c r="BZ87" s="4"/>
    </row>
    <row r="88" ht="14.25" customHeight="1">
      <c r="T88" s="3"/>
      <c r="AA88" s="4"/>
      <c r="AB88" s="4"/>
      <c r="AC88" s="3"/>
      <c r="AK88" s="4"/>
      <c r="AL88" s="3"/>
      <c r="AS88" s="4"/>
      <c r="AT88" s="4"/>
      <c r="AU88" s="3"/>
      <c r="BB88" s="4"/>
      <c r="BC88" s="3"/>
      <c r="BJ88" s="4"/>
      <c r="BK88" s="3"/>
      <c r="BR88" s="4"/>
      <c r="BS88" s="3"/>
      <c r="BZ88" s="4"/>
    </row>
    <row r="89" ht="14.25" customHeight="1">
      <c r="T89" s="3"/>
      <c r="AA89" s="4"/>
      <c r="AB89" s="4"/>
      <c r="AC89" s="3"/>
      <c r="AK89" s="4"/>
      <c r="AL89" s="3"/>
      <c r="AS89" s="4"/>
      <c r="AT89" s="4"/>
      <c r="AU89" s="3"/>
      <c r="BB89" s="4"/>
      <c r="BC89" s="3"/>
      <c r="BJ89" s="4"/>
      <c r="BK89" s="3"/>
      <c r="BR89" s="4"/>
      <c r="BS89" s="3"/>
      <c r="BZ89" s="4"/>
    </row>
    <row r="90" ht="14.25" customHeight="1">
      <c r="T90" s="3"/>
      <c r="AA90" s="4"/>
      <c r="AB90" s="4"/>
      <c r="AC90" s="3"/>
      <c r="AK90" s="4"/>
      <c r="AL90" s="3"/>
      <c r="AS90" s="4"/>
      <c r="AT90" s="4"/>
      <c r="AU90" s="3"/>
      <c r="BB90" s="4"/>
      <c r="BC90" s="3"/>
      <c r="BJ90" s="4"/>
      <c r="BK90" s="3"/>
      <c r="BR90" s="4"/>
      <c r="BS90" s="3"/>
      <c r="BZ90" s="4"/>
    </row>
    <row r="91" ht="14.25" customHeight="1">
      <c r="T91" s="3"/>
      <c r="AA91" s="4"/>
      <c r="AB91" s="4"/>
      <c r="AC91" s="3"/>
      <c r="AK91" s="4"/>
      <c r="AL91" s="3"/>
      <c r="AS91" s="4"/>
      <c r="AT91" s="4"/>
      <c r="AU91" s="3"/>
      <c r="BB91" s="4"/>
      <c r="BC91" s="3"/>
      <c r="BJ91" s="4"/>
      <c r="BK91" s="3"/>
      <c r="BR91" s="4"/>
      <c r="BS91" s="3"/>
      <c r="BZ91" s="4"/>
    </row>
    <row r="92" ht="14.25" customHeight="1">
      <c r="T92" s="3"/>
      <c r="AA92" s="4"/>
      <c r="AB92" s="4"/>
      <c r="AC92" s="3"/>
      <c r="AK92" s="4"/>
      <c r="AL92" s="3"/>
      <c r="AS92" s="4"/>
      <c r="AT92" s="4"/>
      <c r="AU92" s="3"/>
      <c r="BB92" s="4"/>
      <c r="BC92" s="3"/>
      <c r="BJ92" s="4"/>
      <c r="BK92" s="3"/>
      <c r="BR92" s="4"/>
      <c r="BS92" s="3"/>
      <c r="BZ92" s="4"/>
    </row>
    <row r="93" ht="14.25" customHeight="1">
      <c r="T93" s="3"/>
      <c r="AA93" s="4"/>
      <c r="AB93" s="4"/>
      <c r="AC93" s="3"/>
      <c r="AK93" s="4"/>
      <c r="AL93" s="3"/>
      <c r="AS93" s="4"/>
      <c r="AT93" s="4"/>
      <c r="AU93" s="3"/>
      <c r="BB93" s="4"/>
      <c r="BC93" s="3"/>
      <c r="BJ93" s="4"/>
      <c r="BK93" s="3"/>
      <c r="BR93" s="4"/>
      <c r="BS93" s="3"/>
      <c r="BZ93" s="4"/>
    </row>
    <row r="94" ht="14.25" customHeight="1">
      <c r="T94" s="3"/>
      <c r="AA94" s="4"/>
      <c r="AB94" s="4"/>
      <c r="AC94" s="3"/>
      <c r="AK94" s="4"/>
      <c r="AL94" s="3"/>
      <c r="AS94" s="4"/>
      <c r="AT94" s="4"/>
      <c r="AU94" s="3"/>
      <c r="BB94" s="4"/>
      <c r="BC94" s="3"/>
      <c r="BJ94" s="4"/>
      <c r="BK94" s="3"/>
      <c r="BR94" s="4"/>
      <c r="BS94" s="3"/>
      <c r="BZ94" s="4"/>
    </row>
    <row r="95" ht="14.25" customHeight="1">
      <c r="T95" s="3"/>
      <c r="AA95" s="4"/>
      <c r="AB95" s="4"/>
      <c r="AC95" s="3"/>
      <c r="AK95" s="4"/>
      <c r="AL95" s="3"/>
      <c r="AS95" s="4"/>
      <c r="AT95" s="4"/>
      <c r="AU95" s="3"/>
      <c r="BB95" s="4"/>
      <c r="BC95" s="3"/>
      <c r="BJ95" s="4"/>
      <c r="BK95" s="3"/>
      <c r="BR95" s="4"/>
      <c r="BS95" s="3"/>
      <c r="BZ95" s="4"/>
    </row>
    <row r="96" ht="14.25" customHeight="1">
      <c r="T96" s="3"/>
      <c r="AA96" s="4"/>
      <c r="AB96" s="4"/>
      <c r="AC96" s="3"/>
      <c r="AK96" s="4"/>
      <c r="AL96" s="3"/>
      <c r="AS96" s="4"/>
      <c r="AT96" s="4"/>
      <c r="AU96" s="3"/>
      <c r="BB96" s="4"/>
      <c r="BC96" s="3"/>
      <c r="BJ96" s="4"/>
      <c r="BK96" s="3"/>
      <c r="BR96" s="4"/>
      <c r="BS96" s="3"/>
      <c r="BZ96" s="4"/>
    </row>
    <row r="97" ht="14.25" customHeight="1">
      <c r="T97" s="3"/>
      <c r="AA97" s="4"/>
      <c r="AB97" s="4"/>
      <c r="AC97" s="3"/>
      <c r="AK97" s="4"/>
      <c r="AL97" s="3"/>
      <c r="AS97" s="4"/>
      <c r="AT97" s="4"/>
      <c r="AU97" s="3"/>
      <c r="BB97" s="4"/>
      <c r="BC97" s="3"/>
      <c r="BJ97" s="4"/>
      <c r="BK97" s="3"/>
      <c r="BR97" s="4"/>
      <c r="BS97" s="3"/>
      <c r="BZ97" s="4"/>
    </row>
    <row r="98" ht="14.25" customHeight="1">
      <c r="T98" s="3"/>
      <c r="AA98" s="4"/>
      <c r="AB98" s="4"/>
      <c r="AC98" s="3"/>
      <c r="AK98" s="4"/>
      <c r="AL98" s="3"/>
      <c r="AS98" s="4"/>
      <c r="AT98" s="4"/>
      <c r="AU98" s="3"/>
      <c r="BB98" s="4"/>
      <c r="BC98" s="3"/>
      <c r="BJ98" s="4"/>
      <c r="BK98" s="3"/>
      <c r="BR98" s="4"/>
      <c r="BS98" s="3"/>
      <c r="BZ98" s="4"/>
    </row>
    <row r="99" ht="14.25" customHeight="1">
      <c r="T99" s="3"/>
      <c r="AA99" s="4"/>
      <c r="AB99" s="4"/>
      <c r="AC99" s="3"/>
      <c r="AK99" s="4"/>
      <c r="AL99" s="3"/>
      <c r="AS99" s="4"/>
      <c r="AT99" s="4"/>
      <c r="AU99" s="3"/>
      <c r="BB99" s="4"/>
      <c r="BC99" s="3"/>
      <c r="BJ99" s="4"/>
      <c r="BK99" s="3"/>
      <c r="BR99" s="4"/>
      <c r="BS99" s="3"/>
      <c r="BZ99" s="4"/>
    </row>
    <row r="100" ht="14.25" customHeight="1">
      <c r="T100" s="3"/>
      <c r="AA100" s="4"/>
      <c r="AB100" s="4"/>
      <c r="AC100" s="3"/>
      <c r="AK100" s="4"/>
      <c r="AL100" s="3"/>
      <c r="AS100" s="4"/>
      <c r="AT100" s="4"/>
      <c r="AU100" s="3"/>
      <c r="BB100" s="4"/>
      <c r="BC100" s="3"/>
      <c r="BJ100" s="4"/>
      <c r="BK100" s="3"/>
      <c r="BR100" s="4"/>
      <c r="BS100" s="3"/>
      <c r="BZ100" s="4"/>
    </row>
    <row r="101" ht="14.25" customHeight="1">
      <c r="T101" s="3"/>
      <c r="AA101" s="4"/>
      <c r="AB101" s="4"/>
      <c r="AC101" s="3"/>
      <c r="AK101" s="4"/>
      <c r="AL101" s="3"/>
      <c r="AS101" s="4"/>
      <c r="AT101" s="4"/>
      <c r="AU101" s="3"/>
      <c r="BB101" s="4"/>
      <c r="BC101" s="3"/>
      <c r="BJ101" s="4"/>
      <c r="BK101" s="3"/>
      <c r="BR101" s="4"/>
      <c r="BS101" s="3"/>
      <c r="BZ101" s="4"/>
    </row>
    <row r="102" ht="14.25" customHeight="1">
      <c r="T102" s="3"/>
      <c r="AA102" s="4"/>
      <c r="AB102" s="4"/>
      <c r="AC102" s="3"/>
      <c r="AK102" s="4"/>
      <c r="AL102" s="3"/>
      <c r="AS102" s="4"/>
      <c r="AT102" s="4"/>
      <c r="AU102" s="3"/>
      <c r="BB102" s="4"/>
      <c r="BC102" s="3"/>
      <c r="BJ102" s="4"/>
      <c r="BK102" s="3"/>
      <c r="BR102" s="4"/>
      <c r="BS102" s="3"/>
      <c r="BZ102" s="4"/>
    </row>
    <row r="103" ht="14.25" customHeight="1">
      <c r="T103" s="3"/>
      <c r="AA103" s="4"/>
      <c r="AB103" s="4"/>
      <c r="AC103" s="3"/>
      <c r="AK103" s="4"/>
      <c r="AL103" s="3"/>
      <c r="AS103" s="4"/>
      <c r="AT103" s="4"/>
      <c r="AU103" s="3"/>
      <c r="BB103" s="4"/>
      <c r="BC103" s="3"/>
      <c r="BJ103" s="4"/>
      <c r="BK103" s="3"/>
      <c r="BR103" s="4"/>
      <c r="BS103" s="3"/>
      <c r="BZ103" s="4"/>
    </row>
    <row r="104" ht="14.25" customHeight="1">
      <c r="T104" s="3"/>
      <c r="AA104" s="4"/>
      <c r="AB104" s="4"/>
      <c r="AC104" s="3"/>
      <c r="AK104" s="4"/>
      <c r="AL104" s="3"/>
      <c r="AS104" s="4"/>
      <c r="AT104" s="4"/>
      <c r="AU104" s="3"/>
      <c r="BB104" s="4"/>
      <c r="BC104" s="3"/>
      <c r="BJ104" s="4"/>
      <c r="BK104" s="3"/>
      <c r="BR104" s="4"/>
      <c r="BS104" s="3"/>
      <c r="BZ104" s="4"/>
    </row>
    <row r="105" ht="14.25" customHeight="1">
      <c r="T105" s="3"/>
      <c r="AA105" s="4"/>
      <c r="AB105" s="4"/>
      <c r="AC105" s="3"/>
      <c r="AK105" s="4"/>
      <c r="AL105" s="3"/>
      <c r="AS105" s="4"/>
      <c r="AT105" s="4"/>
      <c r="AU105" s="3"/>
      <c r="BB105" s="4"/>
      <c r="BC105" s="3"/>
      <c r="BJ105" s="4"/>
      <c r="BK105" s="3"/>
      <c r="BR105" s="4"/>
      <c r="BS105" s="3"/>
      <c r="BZ105" s="4"/>
    </row>
    <row r="106" ht="14.25" customHeight="1">
      <c r="T106" s="3"/>
      <c r="AA106" s="4"/>
      <c r="AB106" s="4"/>
      <c r="AC106" s="3"/>
      <c r="AK106" s="4"/>
      <c r="AL106" s="3"/>
      <c r="AS106" s="4"/>
      <c r="AT106" s="4"/>
      <c r="AU106" s="3"/>
      <c r="BB106" s="4"/>
      <c r="BC106" s="3"/>
      <c r="BJ106" s="4"/>
      <c r="BK106" s="3"/>
      <c r="BR106" s="4"/>
      <c r="BS106" s="3"/>
      <c r="BZ106" s="4"/>
    </row>
    <row r="107" ht="14.25" customHeight="1">
      <c r="T107" s="3"/>
      <c r="AA107" s="4"/>
      <c r="AB107" s="4"/>
      <c r="AC107" s="3"/>
      <c r="AK107" s="4"/>
      <c r="AL107" s="3"/>
      <c r="AS107" s="4"/>
      <c r="AT107" s="4"/>
      <c r="AU107" s="3"/>
      <c r="BB107" s="4"/>
      <c r="BC107" s="3"/>
      <c r="BJ107" s="4"/>
      <c r="BK107" s="3"/>
      <c r="BR107" s="4"/>
      <c r="BS107" s="3"/>
      <c r="BZ107" s="4"/>
    </row>
    <row r="108" ht="14.25" customHeight="1">
      <c r="T108" s="3"/>
      <c r="AA108" s="4"/>
      <c r="AB108" s="4"/>
      <c r="AC108" s="3"/>
      <c r="AK108" s="4"/>
      <c r="AL108" s="3"/>
      <c r="AS108" s="4"/>
      <c r="AT108" s="4"/>
      <c r="AU108" s="3"/>
      <c r="BB108" s="4"/>
      <c r="BC108" s="3"/>
      <c r="BJ108" s="4"/>
      <c r="BK108" s="3"/>
      <c r="BR108" s="4"/>
      <c r="BS108" s="3"/>
      <c r="BZ108" s="4"/>
    </row>
    <row r="109" ht="14.25" customHeight="1">
      <c r="T109" s="3"/>
      <c r="AA109" s="4"/>
      <c r="AB109" s="4"/>
      <c r="AC109" s="3"/>
      <c r="AK109" s="4"/>
      <c r="AL109" s="3"/>
      <c r="AS109" s="4"/>
      <c r="AT109" s="4"/>
      <c r="AU109" s="3"/>
      <c r="BB109" s="4"/>
      <c r="BC109" s="3"/>
      <c r="BJ109" s="4"/>
      <c r="BK109" s="3"/>
      <c r="BR109" s="4"/>
      <c r="BS109" s="3"/>
      <c r="BZ109" s="4"/>
    </row>
    <row r="110" ht="14.25" customHeight="1">
      <c r="T110" s="3"/>
      <c r="AA110" s="4"/>
      <c r="AB110" s="4"/>
      <c r="AC110" s="3"/>
      <c r="AK110" s="4"/>
      <c r="AL110" s="3"/>
      <c r="AS110" s="4"/>
      <c r="AT110" s="4"/>
      <c r="AU110" s="3"/>
      <c r="BB110" s="4"/>
      <c r="BC110" s="3"/>
      <c r="BJ110" s="4"/>
      <c r="BK110" s="3"/>
      <c r="BR110" s="4"/>
      <c r="BS110" s="3"/>
      <c r="BZ110" s="4"/>
    </row>
    <row r="111" ht="14.25" customHeight="1">
      <c r="T111" s="3"/>
      <c r="AA111" s="4"/>
      <c r="AB111" s="4"/>
      <c r="AC111" s="3"/>
      <c r="AK111" s="4"/>
      <c r="AL111" s="3"/>
      <c r="AS111" s="4"/>
      <c r="AT111" s="4"/>
      <c r="AU111" s="3"/>
      <c r="BB111" s="4"/>
      <c r="BC111" s="3"/>
      <c r="BJ111" s="4"/>
      <c r="BK111" s="3"/>
      <c r="BR111" s="4"/>
      <c r="BS111" s="3"/>
      <c r="BZ111" s="4"/>
    </row>
    <row r="112" ht="14.25" customHeight="1">
      <c r="T112" s="3"/>
      <c r="AA112" s="4"/>
      <c r="AB112" s="4"/>
      <c r="AC112" s="3"/>
      <c r="AK112" s="4"/>
      <c r="AL112" s="3"/>
      <c r="AS112" s="4"/>
      <c r="AT112" s="4"/>
      <c r="AU112" s="3"/>
      <c r="BB112" s="4"/>
      <c r="BC112" s="3"/>
      <c r="BJ112" s="4"/>
      <c r="BK112" s="3"/>
      <c r="BR112" s="4"/>
      <c r="BS112" s="3"/>
      <c r="BZ112" s="4"/>
    </row>
    <row r="113" ht="14.25" customHeight="1">
      <c r="T113" s="3"/>
      <c r="AA113" s="4"/>
      <c r="AB113" s="4"/>
      <c r="AC113" s="3"/>
      <c r="AK113" s="4"/>
      <c r="AL113" s="3"/>
      <c r="AS113" s="4"/>
      <c r="AT113" s="4"/>
      <c r="AU113" s="3"/>
      <c r="BB113" s="4"/>
      <c r="BC113" s="3"/>
      <c r="BJ113" s="4"/>
      <c r="BK113" s="3"/>
      <c r="BR113" s="4"/>
      <c r="BS113" s="3"/>
      <c r="BZ113" s="4"/>
    </row>
    <row r="114" ht="14.25" customHeight="1">
      <c r="T114" s="3"/>
      <c r="AA114" s="4"/>
      <c r="AB114" s="4"/>
      <c r="AC114" s="3"/>
      <c r="AK114" s="4"/>
      <c r="AL114" s="3"/>
      <c r="AS114" s="4"/>
      <c r="AT114" s="4"/>
      <c r="AU114" s="3"/>
      <c r="BB114" s="4"/>
      <c r="BC114" s="3"/>
      <c r="BJ114" s="4"/>
      <c r="BK114" s="3"/>
      <c r="BR114" s="4"/>
      <c r="BS114" s="3"/>
      <c r="BZ114" s="4"/>
    </row>
    <row r="115" ht="14.25" customHeight="1">
      <c r="T115" s="3"/>
      <c r="AA115" s="4"/>
      <c r="AB115" s="4"/>
      <c r="AC115" s="3"/>
      <c r="AK115" s="4"/>
      <c r="AL115" s="3"/>
      <c r="AS115" s="4"/>
      <c r="AT115" s="4"/>
      <c r="AU115" s="3"/>
      <c r="BB115" s="4"/>
      <c r="BC115" s="3"/>
      <c r="BJ115" s="4"/>
      <c r="BK115" s="3"/>
      <c r="BR115" s="4"/>
      <c r="BS115" s="3"/>
      <c r="BZ115" s="4"/>
    </row>
    <row r="116" ht="14.25" customHeight="1">
      <c r="T116" s="3"/>
      <c r="AA116" s="4"/>
      <c r="AB116" s="4"/>
      <c r="AC116" s="3"/>
      <c r="AK116" s="4"/>
      <c r="AL116" s="3"/>
      <c r="AS116" s="4"/>
      <c r="AT116" s="4"/>
      <c r="AU116" s="3"/>
      <c r="BB116" s="4"/>
      <c r="BC116" s="3"/>
      <c r="BJ116" s="4"/>
      <c r="BK116" s="3"/>
      <c r="BR116" s="4"/>
      <c r="BS116" s="3"/>
      <c r="BZ116" s="4"/>
    </row>
    <row r="117" ht="14.25" customHeight="1">
      <c r="T117" s="3"/>
      <c r="AA117" s="4"/>
      <c r="AB117" s="4"/>
      <c r="AC117" s="3"/>
      <c r="AK117" s="4"/>
      <c r="AL117" s="3"/>
      <c r="AS117" s="4"/>
      <c r="AT117" s="4"/>
      <c r="AU117" s="3"/>
      <c r="BB117" s="4"/>
      <c r="BC117" s="3"/>
      <c r="BJ117" s="4"/>
      <c r="BK117" s="3"/>
      <c r="BR117" s="4"/>
      <c r="BS117" s="3"/>
      <c r="BZ117" s="4"/>
    </row>
    <row r="118" ht="14.25" customHeight="1">
      <c r="T118" s="3"/>
      <c r="AA118" s="4"/>
      <c r="AB118" s="4"/>
      <c r="AC118" s="3"/>
      <c r="AK118" s="4"/>
      <c r="AL118" s="3"/>
      <c r="AS118" s="4"/>
      <c r="AT118" s="4"/>
      <c r="AU118" s="3"/>
      <c r="BB118" s="4"/>
      <c r="BC118" s="3"/>
      <c r="BJ118" s="4"/>
      <c r="BK118" s="3"/>
      <c r="BR118" s="4"/>
      <c r="BS118" s="3"/>
      <c r="BZ118" s="4"/>
    </row>
    <row r="119" ht="14.25" customHeight="1">
      <c r="T119" s="3"/>
      <c r="AA119" s="4"/>
      <c r="AB119" s="4"/>
      <c r="AC119" s="3"/>
      <c r="AK119" s="4"/>
      <c r="AL119" s="3"/>
      <c r="AS119" s="4"/>
      <c r="AT119" s="4"/>
      <c r="AU119" s="3"/>
      <c r="BB119" s="4"/>
      <c r="BC119" s="3"/>
      <c r="BJ119" s="4"/>
      <c r="BK119" s="3"/>
      <c r="BR119" s="4"/>
      <c r="BS119" s="3"/>
      <c r="BZ119" s="4"/>
    </row>
    <row r="120" ht="14.25" customHeight="1">
      <c r="T120" s="3"/>
      <c r="AA120" s="4"/>
      <c r="AB120" s="4"/>
      <c r="AC120" s="3"/>
      <c r="AK120" s="4"/>
      <c r="AL120" s="3"/>
      <c r="AS120" s="4"/>
      <c r="AT120" s="4"/>
      <c r="AU120" s="3"/>
      <c r="BB120" s="4"/>
      <c r="BC120" s="3"/>
      <c r="BJ120" s="4"/>
      <c r="BK120" s="3"/>
      <c r="BR120" s="4"/>
      <c r="BS120" s="3"/>
      <c r="BZ120" s="4"/>
    </row>
    <row r="121" ht="14.25" customHeight="1">
      <c r="T121" s="3"/>
      <c r="AA121" s="4"/>
      <c r="AB121" s="4"/>
      <c r="AC121" s="3"/>
      <c r="AK121" s="4"/>
      <c r="AL121" s="3"/>
      <c r="AS121" s="4"/>
      <c r="AT121" s="4"/>
      <c r="AU121" s="3"/>
      <c r="BB121" s="4"/>
      <c r="BC121" s="3"/>
      <c r="BJ121" s="4"/>
      <c r="BK121" s="3"/>
      <c r="BR121" s="4"/>
      <c r="BS121" s="3"/>
      <c r="BZ121" s="4"/>
    </row>
    <row r="122" ht="14.25" customHeight="1">
      <c r="T122" s="3"/>
      <c r="AA122" s="4"/>
      <c r="AB122" s="4"/>
      <c r="AC122" s="3"/>
      <c r="AK122" s="4"/>
      <c r="AL122" s="3"/>
      <c r="AS122" s="4"/>
      <c r="AT122" s="4"/>
      <c r="AU122" s="3"/>
      <c r="BB122" s="4"/>
      <c r="BC122" s="3"/>
      <c r="BJ122" s="4"/>
      <c r="BK122" s="3"/>
      <c r="BR122" s="4"/>
      <c r="BS122" s="3"/>
      <c r="BZ122" s="4"/>
    </row>
    <row r="123" ht="14.25" customHeight="1">
      <c r="T123" s="3"/>
      <c r="AA123" s="4"/>
      <c r="AB123" s="4"/>
      <c r="AC123" s="3"/>
      <c r="AK123" s="4"/>
      <c r="AL123" s="3"/>
      <c r="AS123" s="4"/>
      <c r="AT123" s="4"/>
      <c r="AU123" s="3"/>
      <c r="BB123" s="4"/>
      <c r="BC123" s="3"/>
      <c r="BJ123" s="4"/>
      <c r="BK123" s="3"/>
      <c r="BR123" s="4"/>
      <c r="BS123" s="3"/>
      <c r="BZ123" s="4"/>
    </row>
    <row r="124" ht="14.25" customHeight="1">
      <c r="T124" s="3"/>
      <c r="AA124" s="4"/>
      <c r="AB124" s="4"/>
      <c r="AC124" s="3"/>
      <c r="AK124" s="4"/>
      <c r="AL124" s="3"/>
      <c r="AS124" s="4"/>
      <c r="AT124" s="4"/>
      <c r="AU124" s="3"/>
      <c r="BB124" s="4"/>
      <c r="BC124" s="3"/>
      <c r="BJ124" s="4"/>
      <c r="BK124" s="3"/>
      <c r="BR124" s="4"/>
      <c r="BS124" s="3"/>
      <c r="BZ124" s="4"/>
    </row>
    <row r="125" ht="14.25" customHeight="1">
      <c r="T125" s="3"/>
      <c r="AA125" s="4"/>
      <c r="AB125" s="4"/>
      <c r="AC125" s="3"/>
      <c r="AK125" s="4"/>
      <c r="AL125" s="3"/>
      <c r="AS125" s="4"/>
      <c r="AT125" s="4"/>
      <c r="AU125" s="3"/>
      <c r="BB125" s="4"/>
      <c r="BC125" s="3"/>
      <c r="BJ125" s="4"/>
      <c r="BK125" s="3"/>
      <c r="BR125" s="4"/>
      <c r="BS125" s="3"/>
      <c r="BZ125" s="4"/>
    </row>
    <row r="126" ht="14.25" customHeight="1">
      <c r="T126" s="3"/>
      <c r="AA126" s="4"/>
      <c r="AB126" s="4"/>
      <c r="AC126" s="3"/>
      <c r="AK126" s="4"/>
      <c r="AL126" s="3"/>
      <c r="AS126" s="4"/>
      <c r="AT126" s="4"/>
      <c r="AU126" s="3"/>
      <c r="BB126" s="4"/>
      <c r="BC126" s="3"/>
      <c r="BJ126" s="4"/>
      <c r="BK126" s="3"/>
      <c r="BR126" s="4"/>
      <c r="BS126" s="3"/>
      <c r="BZ126" s="4"/>
    </row>
    <row r="127" ht="14.25" customHeight="1">
      <c r="T127" s="3"/>
      <c r="AA127" s="4"/>
      <c r="AB127" s="4"/>
      <c r="AC127" s="3"/>
      <c r="AK127" s="4"/>
      <c r="AL127" s="3"/>
      <c r="AS127" s="4"/>
      <c r="AT127" s="4"/>
      <c r="AU127" s="3"/>
      <c r="BB127" s="4"/>
      <c r="BC127" s="3"/>
      <c r="BJ127" s="4"/>
      <c r="BK127" s="3"/>
      <c r="BR127" s="4"/>
      <c r="BS127" s="3"/>
      <c r="BZ127" s="4"/>
    </row>
    <row r="128" ht="14.25" customHeight="1">
      <c r="T128" s="3"/>
      <c r="AA128" s="4"/>
      <c r="AB128" s="4"/>
      <c r="AC128" s="3"/>
      <c r="AK128" s="4"/>
      <c r="AL128" s="3"/>
      <c r="AS128" s="4"/>
      <c r="AT128" s="4"/>
      <c r="AU128" s="3"/>
      <c r="BB128" s="4"/>
      <c r="BC128" s="3"/>
      <c r="BJ128" s="4"/>
      <c r="BK128" s="3"/>
      <c r="BR128" s="4"/>
      <c r="BS128" s="3"/>
      <c r="BZ128" s="4"/>
    </row>
    <row r="129" ht="14.25" customHeight="1">
      <c r="T129" s="3"/>
      <c r="AA129" s="4"/>
      <c r="AB129" s="4"/>
      <c r="AC129" s="3"/>
      <c r="AK129" s="4"/>
      <c r="AL129" s="3"/>
      <c r="AS129" s="4"/>
      <c r="AT129" s="4"/>
      <c r="AU129" s="3"/>
      <c r="BB129" s="4"/>
      <c r="BC129" s="3"/>
      <c r="BJ129" s="4"/>
      <c r="BK129" s="3"/>
      <c r="BR129" s="4"/>
      <c r="BS129" s="3"/>
      <c r="BZ129" s="4"/>
    </row>
    <row r="130" ht="14.25" customHeight="1">
      <c r="T130" s="3"/>
      <c r="AA130" s="4"/>
      <c r="AB130" s="4"/>
      <c r="AC130" s="3"/>
      <c r="AK130" s="4"/>
      <c r="AL130" s="3"/>
      <c r="AS130" s="4"/>
      <c r="AT130" s="4"/>
      <c r="AU130" s="3"/>
      <c r="BB130" s="4"/>
      <c r="BC130" s="3"/>
      <c r="BJ130" s="4"/>
      <c r="BK130" s="3"/>
      <c r="BR130" s="4"/>
      <c r="BS130" s="3"/>
      <c r="BZ130" s="4"/>
    </row>
    <row r="131" ht="14.25" customHeight="1">
      <c r="T131" s="3"/>
      <c r="AA131" s="4"/>
      <c r="AB131" s="4"/>
      <c r="AC131" s="3"/>
      <c r="AK131" s="4"/>
      <c r="AL131" s="3"/>
      <c r="AS131" s="4"/>
      <c r="AT131" s="4"/>
      <c r="AU131" s="3"/>
      <c r="BB131" s="4"/>
      <c r="BC131" s="3"/>
      <c r="BJ131" s="4"/>
      <c r="BK131" s="3"/>
      <c r="BR131" s="4"/>
      <c r="BS131" s="3"/>
      <c r="BZ131" s="4"/>
    </row>
    <row r="132" ht="14.25" customHeight="1">
      <c r="T132" s="3"/>
      <c r="AA132" s="4"/>
      <c r="AB132" s="4"/>
      <c r="AC132" s="3"/>
      <c r="AK132" s="4"/>
      <c r="AL132" s="3"/>
      <c r="AS132" s="4"/>
      <c r="AT132" s="4"/>
      <c r="AU132" s="3"/>
      <c r="BB132" s="4"/>
      <c r="BC132" s="3"/>
      <c r="BJ132" s="4"/>
      <c r="BK132" s="3"/>
      <c r="BR132" s="4"/>
      <c r="BS132" s="3"/>
      <c r="BZ132" s="4"/>
    </row>
    <row r="133" ht="14.25" customHeight="1">
      <c r="T133" s="3"/>
      <c r="AA133" s="4"/>
      <c r="AB133" s="4"/>
      <c r="AC133" s="3"/>
      <c r="AK133" s="4"/>
      <c r="AL133" s="3"/>
      <c r="AS133" s="4"/>
      <c r="AT133" s="4"/>
      <c r="AU133" s="3"/>
      <c r="BB133" s="4"/>
      <c r="BC133" s="3"/>
      <c r="BJ133" s="4"/>
      <c r="BK133" s="3"/>
      <c r="BR133" s="4"/>
      <c r="BS133" s="3"/>
      <c r="BZ133" s="4"/>
    </row>
    <row r="134" ht="14.25" customHeight="1">
      <c r="T134" s="3"/>
      <c r="AA134" s="4"/>
      <c r="AB134" s="4"/>
      <c r="AC134" s="3"/>
      <c r="AK134" s="4"/>
      <c r="AL134" s="3"/>
      <c r="AS134" s="4"/>
      <c r="AT134" s="4"/>
      <c r="AU134" s="3"/>
      <c r="BB134" s="4"/>
      <c r="BC134" s="3"/>
      <c r="BJ134" s="4"/>
      <c r="BK134" s="3"/>
      <c r="BR134" s="4"/>
      <c r="BS134" s="3"/>
      <c r="BZ134" s="4"/>
    </row>
    <row r="135" ht="14.25" customHeight="1">
      <c r="T135" s="3"/>
      <c r="AA135" s="4"/>
      <c r="AB135" s="4"/>
      <c r="AC135" s="3"/>
      <c r="AK135" s="4"/>
      <c r="AL135" s="3"/>
      <c r="AS135" s="4"/>
      <c r="AT135" s="4"/>
      <c r="AU135" s="3"/>
      <c r="BB135" s="4"/>
      <c r="BC135" s="3"/>
      <c r="BJ135" s="4"/>
      <c r="BK135" s="3"/>
      <c r="BR135" s="4"/>
      <c r="BS135" s="3"/>
      <c r="BZ135" s="4"/>
    </row>
    <row r="136" ht="14.25" customHeight="1">
      <c r="T136" s="3"/>
      <c r="AA136" s="4"/>
      <c r="AB136" s="4"/>
      <c r="AC136" s="3"/>
      <c r="AK136" s="4"/>
      <c r="AL136" s="3"/>
      <c r="AS136" s="4"/>
      <c r="AT136" s="4"/>
      <c r="AU136" s="3"/>
      <c r="BB136" s="4"/>
      <c r="BC136" s="3"/>
      <c r="BJ136" s="4"/>
      <c r="BK136" s="3"/>
      <c r="BR136" s="4"/>
      <c r="BS136" s="3"/>
      <c r="BZ136" s="4"/>
    </row>
    <row r="137" ht="14.25" customHeight="1">
      <c r="T137" s="3"/>
      <c r="AA137" s="4"/>
      <c r="AB137" s="4"/>
      <c r="AC137" s="3"/>
      <c r="AK137" s="4"/>
      <c r="AL137" s="3"/>
      <c r="AS137" s="4"/>
      <c r="AT137" s="4"/>
      <c r="AU137" s="3"/>
      <c r="BB137" s="4"/>
      <c r="BC137" s="3"/>
      <c r="BJ137" s="4"/>
      <c r="BK137" s="3"/>
      <c r="BR137" s="4"/>
      <c r="BS137" s="3"/>
      <c r="BZ137" s="4"/>
    </row>
    <row r="138" ht="14.25" customHeight="1">
      <c r="T138" s="3"/>
      <c r="AA138" s="4"/>
      <c r="AB138" s="4"/>
      <c r="AC138" s="3"/>
      <c r="AK138" s="4"/>
      <c r="AL138" s="3"/>
      <c r="AS138" s="4"/>
      <c r="AT138" s="4"/>
      <c r="AU138" s="3"/>
      <c r="BB138" s="4"/>
      <c r="BC138" s="3"/>
      <c r="BJ138" s="4"/>
      <c r="BK138" s="3"/>
      <c r="BR138" s="4"/>
      <c r="BS138" s="3"/>
      <c r="BZ138" s="4"/>
    </row>
    <row r="139" ht="14.25" customHeight="1">
      <c r="T139" s="3"/>
      <c r="AA139" s="4"/>
      <c r="AB139" s="4"/>
      <c r="AC139" s="3"/>
      <c r="AK139" s="4"/>
      <c r="AL139" s="3"/>
      <c r="AS139" s="4"/>
      <c r="AT139" s="4"/>
      <c r="AU139" s="3"/>
      <c r="BB139" s="4"/>
      <c r="BC139" s="3"/>
      <c r="BJ139" s="4"/>
      <c r="BK139" s="3"/>
      <c r="BR139" s="4"/>
      <c r="BS139" s="3"/>
      <c r="BZ139" s="4"/>
    </row>
    <row r="140" ht="14.25" customHeight="1">
      <c r="T140" s="3"/>
      <c r="AA140" s="4"/>
      <c r="AB140" s="4"/>
      <c r="AC140" s="3"/>
      <c r="AK140" s="4"/>
      <c r="AL140" s="3"/>
      <c r="AS140" s="4"/>
      <c r="AT140" s="4"/>
      <c r="AU140" s="3"/>
      <c r="BB140" s="4"/>
      <c r="BC140" s="3"/>
      <c r="BJ140" s="4"/>
      <c r="BK140" s="3"/>
      <c r="BR140" s="4"/>
      <c r="BS140" s="3"/>
      <c r="BZ140" s="4"/>
    </row>
    <row r="141" ht="14.25" customHeight="1">
      <c r="T141" s="3"/>
      <c r="AA141" s="4"/>
      <c r="AB141" s="4"/>
      <c r="AC141" s="3"/>
      <c r="AK141" s="4"/>
      <c r="AL141" s="3"/>
      <c r="AS141" s="4"/>
      <c r="AT141" s="4"/>
      <c r="AU141" s="3"/>
      <c r="BB141" s="4"/>
      <c r="BC141" s="3"/>
      <c r="BJ141" s="4"/>
      <c r="BK141" s="3"/>
      <c r="BR141" s="4"/>
      <c r="BS141" s="3"/>
      <c r="BZ141" s="4"/>
    </row>
    <row r="142" ht="14.25" customHeight="1">
      <c r="T142" s="3"/>
      <c r="AA142" s="4"/>
      <c r="AB142" s="4"/>
      <c r="AC142" s="3"/>
      <c r="AK142" s="4"/>
      <c r="AL142" s="3"/>
      <c r="AS142" s="4"/>
      <c r="AT142" s="4"/>
      <c r="AU142" s="3"/>
      <c r="BB142" s="4"/>
      <c r="BC142" s="3"/>
      <c r="BJ142" s="4"/>
      <c r="BK142" s="3"/>
      <c r="BR142" s="4"/>
      <c r="BS142" s="3"/>
      <c r="BZ142" s="4"/>
    </row>
    <row r="143" ht="14.25" customHeight="1">
      <c r="T143" s="3"/>
      <c r="AA143" s="4"/>
      <c r="AB143" s="4"/>
      <c r="AC143" s="3"/>
      <c r="AK143" s="4"/>
      <c r="AL143" s="3"/>
      <c r="AS143" s="4"/>
      <c r="AT143" s="4"/>
      <c r="AU143" s="3"/>
      <c r="BB143" s="4"/>
      <c r="BC143" s="3"/>
      <c r="BJ143" s="4"/>
      <c r="BK143" s="3"/>
      <c r="BR143" s="4"/>
      <c r="BS143" s="3"/>
      <c r="BZ143" s="4"/>
    </row>
    <row r="144" ht="14.25" customHeight="1">
      <c r="T144" s="3"/>
      <c r="AA144" s="4"/>
      <c r="AB144" s="4"/>
      <c r="AC144" s="3"/>
      <c r="AK144" s="4"/>
      <c r="AL144" s="3"/>
      <c r="AS144" s="4"/>
      <c r="AT144" s="4"/>
      <c r="AU144" s="3"/>
      <c r="BB144" s="4"/>
      <c r="BC144" s="3"/>
      <c r="BJ144" s="4"/>
      <c r="BK144" s="3"/>
      <c r="BR144" s="4"/>
      <c r="BS144" s="3"/>
      <c r="BZ144" s="4"/>
    </row>
    <row r="145" ht="14.25" customHeight="1">
      <c r="T145" s="3"/>
      <c r="AA145" s="4"/>
      <c r="AB145" s="4"/>
      <c r="AC145" s="3"/>
      <c r="AK145" s="4"/>
      <c r="AL145" s="3"/>
      <c r="AS145" s="4"/>
      <c r="AT145" s="4"/>
      <c r="AU145" s="3"/>
      <c r="BB145" s="4"/>
      <c r="BC145" s="3"/>
      <c r="BJ145" s="4"/>
      <c r="BK145" s="3"/>
      <c r="BR145" s="4"/>
      <c r="BS145" s="3"/>
      <c r="BZ145" s="4"/>
    </row>
    <row r="146" ht="14.25" customHeight="1">
      <c r="T146" s="3"/>
      <c r="AA146" s="4"/>
      <c r="AB146" s="4"/>
      <c r="AC146" s="3"/>
      <c r="AK146" s="4"/>
      <c r="AL146" s="3"/>
      <c r="AS146" s="4"/>
      <c r="AT146" s="4"/>
      <c r="AU146" s="3"/>
      <c r="BB146" s="4"/>
      <c r="BC146" s="3"/>
      <c r="BJ146" s="4"/>
      <c r="BK146" s="3"/>
      <c r="BR146" s="4"/>
      <c r="BS146" s="3"/>
      <c r="BZ146" s="4"/>
    </row>
    <row r="147" ht="14.25" customHeight="1">
      <c r="T147" s="3"/>
      <c r="AA147" s="4"/>
      <c r="AB147" s="4"/>
      <c r="AC147" s="3"/>
      <c r="AK147" s="4"/>
      <c r="AL147" s="3"/>
      <c r="AS147" s="4"/>
      <c r="AT147" s="4"/>
      <c r="AU147" s="3"/>
      <c r="BB147" s="4"/>
      <c r="BC147" s="3"/>
      <c r="BJ147" s="4"/>
      <c r="BK147" s="3"/>
      <c r="BR147" s="4"/>
      <c r="BS147" s="3"/>
      <c r="BZ147" s="4"/>
    </row>
    <row r="148" ht="14.25" customHeight="1">
      <c r="T148" s="3"/>
      <c r="AA148" s="4"/>
      <c r="AB148" s="4"/>
      <c r="AC148" s="3"/>
      <c r="AK148" s="4"/>
      <c r="AL148" s="3"/>
      <c r="AS148" s="4"/>
      <c r="AT148" s="4"/>
      <c r="AU148" s="3"/>
      <c r="BB148" s="4"/>
      <c r="BC148" s="3"/>
      <c r="BJ148" s="4"/>
      <c r="BK148" s="3"/>
      <c r="BR148" s="4"/>
      <c r="BS148" s="3"/>
      <c r="BZ148" s="4"/>
    </row>
    <row r="149" ht="14.25" customHeight="1">
      <c r="T149" s="3"/>
      <c r="AA149" s="4"/>
      <c r="AB149" s="4"/>
      <c r="AC149" s="3"/>
      <c r="AK149" s="4"/>
      <c r="AL149" s="3"/>
      <c r="AS149" s="4"/>
      <c r="AT149" s="4"/>
      <c r="AU149" s="3"/>
      <c r="BB149" s="4"/>
      <c r="BC149" s="3"/>
      <c r="BJ149" s="4"/>
      <c r="BK149" s="3"/>
      <c r="BR149" s="4"/>
      <c r="BS149" s="3"/>
      <c r="BZ149" s="4"/>
    </row>
    <row r="150" ht="14.25" customHeight="1">
      <c r="T150" s="3"/>
      <c r="AA150" s="4"/>
      <c r="AB150" s="4"/>
      <c r="AC150" s="3"/>
      <c r="AK150" s="4"/>
      <c r="AL150" s="3"/>
      <c r="AS150" s="4"/>
      <c r="AT150" s="4"/>
      <c r="AU150" s="3"/>
      <c r="BB150" s="4"/>
      <c r="BC150" s="3"/>
      <c r="BJ150" s="4"/>
      <c r="BK150" s="3"/>
      <c r="BR150" s="4"/>
      <c r="BS150" s="3"/>
      <c r="BZ150" s="4"/>
    </row>
    <row r="151" ht="14.25" customHeight="1">
      <c r="T151" s="3"/>
      <c r="AA151" s="4"/>
      <c r="AB151" s="4"/>
      <c r="AC151" s="3"/>
      <c r="AK151" s="4"/>
      <c r="AL151" s="3"/>
      <c r="AS151" s="4"/>
      <c r="AT151" s="4"/>
      <c r="AU151" s="3"/>
      <c r="BB151" s="4"/>
      <c r="BC151" s="3"/>
      <c r="BJ151" s="4"/>
      <c r="BK151" s="3"/>
      <c r="BR151" s="4"/>
      <c r="BS151" s="3"/>
      <c r="BZ151" s="4"/>
    </row>
    <row r="152" ht="14.25" customHeight="1">
      <c r="T152" s="3"/>
      <c r="AA152" s="4"/>
      <c r="AB152" s="4"/>
      <c r="AC152" s="3"/>
      <c r="AK152" s="4"/>
      <c r="AL152" s="3"/>
      <c r="AS152" s="4"/>
      <c r="AT152" s="4"/>
      <c r="AU152" s="3"/>
      <c r="BB152" s="4"/>
      <c r="BC152" s="3"/>
      <c r="BJ152" s="4"/>
      <c r="BK152" s="3"/>
      <c r="BR152" s="4"/>
      <c r="BS152" s="3"/>
      <c r="BZ152" s="4"/>
    </row>
    <row r="153" ht="14.25" customHeight="1">
      <c r="T153" s="3"/>
      <c r="AA153" s="4"/>
      <c r="AB153" s="4"/>
      <c r="AC153" s="3"/>
      <c r="AK153" s="4"/>
      <c r="AL153" s="3"/>
      <c r="AS153" s="4"/>
      <c r="AT153" s="4"/>
      <c r="AU153" s="3"/>
      <c r="BB153" s="4"/>
      <c r="BC153" s="3"/>
      <c r="BJ153" s="4"/>
      <c r="BK153" s="3"/>
      <c r="BR153" s="4"/>
      <c r="BS153" s="3"/>
      <c r="BZ153" s="4"/>
    </row>
    <row r="154" ht="14.25" customHeight="1">
      <c r="T154" s="3"/>
      <c r="AA154" s="4"/>
      <c r="AB154" s="4"/>
      <c r="AC154" s="3"/>
      <c r="AK154" s="4"/>
      <c r="AL154" s="3"/>
      <c r="AS154" s="4"/>
      <c r="AT154" s="4"/>
      <c r="AU154" s="3"/>
      <c r="BB154" s="4"/>
      <c r="BC154" s="3"/>
      <c r="BJ154" s="4"/>
      <c r="BK154" s="3"/>
      <c r="BR154" s="4"/>
      <c r="BS154" s="3"/>
      <c r="BZ154" s="4"/>
    </row>
    <row r="155" ht="14.25" customHeight="1">
      <c r="T155" s="3"/>
      <c r="AA155" s="4"/>
      <c r="AB155" s="4"/>
      <c r="AC155" s="3"/>
      <c r="AK155" s="4"/>
      <c r="AL155" s="3"/>
      <c r="AS155" s="4"/>
      <c r="AT155" s="4"/>
      <c r="AU155" s="3"/>
      <c r="BB155" s="4"/>
      <c r="BC155" s="3"/>
      <c r="BJ155" s="4"/>
      <c r="BK155" s="3"/>
      <c r="BR155" s="4"/>
      <c r="BS155" s="3"/>
      <c r="BZ155" s="4"/>
    </row>
    <row r="156" ht="14.25" customHeight="1">
      <c r="T156" s="3"/>
      <c r="AA156" s="4"/>
      <c r="AB156" s="4"/>
      <c r="AC156" s="3"/>
      <c r="AK156" s="4"/>
      <c r="AL156" s="3"/>
      <c r="AS156" s="4"/>
      <c r="AT156" s="4"/>
      <c r="AU156" s="3"/>
      <c r="BB156" s="4"/>
      <c r="BC156" s="3"/>
      <c r="BJ156" s="4"/>
      <c r="BK156" s="3"/>
      <c r="BR156" s="4"/>
      <c r="BS156" s="3"/>
      <c r="BZ156" s="4"/>
    </row>
    <row r="157" ht="14.25" customHeight="1">
      <c r="T157" s="3"/>
      <c r="AA157" s="4"/>
      <c r="AB157" s="4"/>
      <c r="AC157" s="3"/>
      <c r="AK157" s="4"/>
      <c r="AL157" s="3"/>
      <c r="AS157" s="4"/>
      <c r="AT157" s="4"/>
      <c r="AU157" s="3"/>
      <c r="BB157" s="4"/>
      <c r="BC157" s="3"/>
      <c r="BJ157" s="4"/>
      <c r="BK157" s="3"/>
      <c r="BR157" s="4"/>
      <c r="BS157" s="3"/>
      <c r="BZ157" s="4"/>
    </row>
    <row r="158" ht="14.25" customHeight="1">
      <c r="T158" s="3"/>
      <c r="AA158" s="4"/>
      <c r="AB158" s="4"/>
      <c r="AC158" s="3"/>
      <c r="AK158" s="4"/>
      <c r="AL158" s="3"/>
      <c r="AS158" s="4"/>
      <c r="AT158" s="4"/>
      <c r="AU158" s="3"/>
      <c r="BB158" s="4"/>
      <c r="BC158" s="3"/>
      <c r="BJ158" s="4"/>
      <c r="BK158" s="3"/>
      <c r="BR158" s="4"/>
      <c r="BS158" s="3"/>
      <c r="BZ158" s="4"/>
    </row>
    <row r="159" ht="14.25" customHeight="1">
      <c r="T159" s="3"/>
      <c r="AA159" s="4"/>
      <c r="AB159" s="4"/>
      <c r="AC159" s="3"/>
      <c r="AK159" s="4"/>
      <c r="AL159" s="3"/>
      <c r="AS159" s="4"/>
      <c r="AT159" s="4"/>
      <c r="AU159" s="3"/>
      <c r="BB159" s="4"/>
      <c r="BC159" s="3"/>
      <c r="BJ159" s="4"/>
      <c r="BK159" s="3"/>
      <c r="BR159" s="4"/>
      <c r="BS159" s="3"/>
      <c r="BZ159" s="4"/>
    </row>
    <row r="160" ht="14.25" customHeight="1">
      <c r="T160" s="3"/>
      <c r="AA160" s="4"/>
      <c r="AB160" s="4"/>
      <c r="AC160" s="3"/>
      <c r="AK160" s="4"/>
      <c r="AL160" s="3"/>
      <c r="AS160" s="4"/>
      <c r="AT160" s="4"/>
      <c r="AU160" s="3"/>
      <c r="BB160" s="4"/>
      <c r="BC160" s="3"/>
      <c r="BJ160" s="4"/>
      <c r="BK160" s="3"/>
      <c r="BR160" s="4"/>
      <c r="BS160" s="3"/>
      <c r="BZ160" s="4"/>
    </row>
    <row r="161" ht="14.25" customHeight="1">
      <c r="T161" s="3"/>
      <c r="AA161" s="4"/>
      <c r="AB161" s="4"/>
      <c r="AC161" s="3"/>
      <c r="AK161" s="4"/>
      <c r="AL161" s="3"/>
      <c r="AS161" s="4"/>
      <c r="AT161" s="4"/>
      <c r="AU161" s="3"/>
      <c r="BB161" s="4"/>
      <c r="BC161" s="3"/>
      <c r="BJ161" s="4"/>
      <c r="BK161" s="3"/>
      <c r="BR161" s="4"/>
      <c r="BS161" s="3"/>
      <c r="BZ161" s="4"/>
    </row>
    <row r="162" ht="14.25" customHeight="1">
      <c r="T162" s="3"/>
      <c r="AA162" s="4"/>
      <c r="AB162" s="4"/>
      <c r="AC162" s="3"/>
      <c r="AK162" s="4"/>
      <c r="AL162" s="3"/>
      <c r="AS162" s="4"/>
      <c r="AT162" s="4"/>
      <c r="AU162" s="3"/>
      <c r="BB162" s="4"/>
      <c r="BC162" s="3"/>
      <c r="BJ162" s="4"/>
      <c r="BK162" s="3"/>
      <c r="BR162" s="4"/>
      <c r="BS162" s="3"/>
      <c r="BZ162" s="4"/>
    </row>
    <row r="163" ht="14.25" customHeight="1">
      <c r="T163" s="3"/>
      <c r="AA163" s="4"/>
      <c r="AB163" s="4"/>
      <c r="AC163" s="3"/>
      <c r="AK163" s="4"/>
      <c r="AL163" s="3"/>
      <c r="AS163" s="4"/>
      <c r="AT163" s="4"/>
      <c r="AU163" s="3"/>
      <c r="BB163" s="4"/>
      <c r="BC163" s="3"/>
      <c r="BJ163" s="4"/>
      <c r="BK163" s="3"/>
      <c r="BR163" s="4"/>
      <c r="BS163" s="3"/>
      <c r="BZ163" s="4"/>
    </row>
    <row r="164" ht="14.25" customHeight="1">
      <c r="T164" s="3"/>
      <c r="AA164" s="4"/>
      <c r="AB164" s="4"/>
      <c r="AC164" s="3"/>
      <c r="AK164" s="4"/>
      <c r="AL164" s="3"/>
      <c r="AS164" s="4"/>
      <c r="AT164" s="4"/>
      <c r="AU164" s="3"/>
      <c r="BB164" s="4"/>
      <c r="BC164" s="3"/>
      <c r="BJ164" s="4"/>
      <c r="BK164" s="3"/>
      <c r="BR164" s="4"/>
      <c r="BS164" s="3"/>
      <c r="BZ164" s="4"/>
    </row>
    <row r="165" ht="14.25" customHeight="1">
      <c r="T165" s="3"/>
      <c r="AA165" s="4"/>
      <c r="AB165" s="4"/>
      <c r="AC165" s="3"/>
      <c r="AK165" s="4"/>
      <c r="AL165" s="3"/>
      <c r="AS165" s="4"/>
      <c r="AT165" s="4"/>
      <c r="AU165" s="3"/>
      <c r="BB165" s="4"/>
      <c r="BC165" s="3"/>
      <c r="BJ165" s="4"/>
      <c r="BK165" s="3"/>
      <c r="BR165" s="4"/>
      <c r="BS165" s="3"/>
      <c r="BZ165" s="4"/>
    </row>
    <row r="166" ht="14.25" customHeight="1">
      <c r="T166" s="3"/>
      <c r="AA166" s="4"/>
      <c r="AB166" s="4"/>
      <c r="AC166" s="3"/>
      <c r="AK166" s="4"/>
      <c r="AL166" s="3"/>
      <c r="AS166" s="4"/>
      <c r="AT166" s="4"/>
      <c r="AU166" s="3"/>
      <c r="BB166" s="4"/>
      <c r="BC166" s="3"/>
      <c r="BJ166" s="4"/>
      <c r="BK166" s="3"/>
      <c r="BR166" s="4"/>
      <c r="BS166" s="3"/>
      <c r="BZ166" s="4"/>
    </row>
    <row r="167" ht="14.25" customHeight="1">
      <c r="T167" s="3"/>
      <c r="AA167" s="4"/>
      <c r="AB167" s="4"/>
      <c r="AC167" s="3"/>
      <c r="AK167" s="4"/>
      <c r="AL167" s="3"/>
      <c r="AS167" s="4"/>
      <c r="AT167" s="4"/>
      <c r="AU167" s="3"/>
      <c r="BB167" s="4"/>
      <c r="BC167" s="3"/>
      <c r="BJ167" s="4"/>
      <c r="BK167" s="3"/>
      <c r="BR167" s="4"/>
      <c r="BS167" s="3"/>
      <c r="BZ167" s="4"/>
    </row>
    <row r="168" ht="14.25" customHeight="1">
      <c r="T168" s="3"/>
      <c r="AA168" s="4"/>
      <c r="AB168" s="4"/>
      <c r="AC168" s="3"/>
      <c r="AK168" s="4"/>
      <c r="AL168" s="3"/>
      <c r="AS168" s="4"/>
      <c r="AT168" s="4"/>
      <c r="AU168" s="3"/>
      <c r="BB168" s="4"/>
      <c r="BC168" s="3"/>
      <c r="BJ168" s="4"/>
      <c r="BK168" s="3"/>
      <c r="BR168" s="4"/>
      <c r="BS168" s="3"/>
      <c r="BZ168" s="4"/>
    </row>
    <row r="169" ht="14.25" customHeight="1">
      <c r="T169" s="3"/>
      <c r="AA169" s="4"/>
      <c r="AB169" s="4"/>
      <c r="AC169" s="3"/>
      <c r="AK169" s="4"/>
      <c r="AL169" s="3"/>
      <c r="AS169" s="4"/>
      <c r="AT169" s="4"/>
      <c r="AU169" s="3"/>
      <c r="BB169" s="4"/>
      <c r="BC169" s="3"/>
      <c r="BJ169" s="4"/>
      <c r="BK169" s="3"/>
      <c r="BR169" s="4"/>
      <c r="BS169" s="3"/>
      <c r="BZ169" s="4"/>
    </row>
    <row r="170" ht="14.25" customHeight="1">
      <c r="T170" s="3"/>
      <c r="AA170" s="4"/>
      <c r="AB170" s="4"/>
      <c r="AC170" s="3"/>
      <c r="AK170" s="4"/>
      <c r="AL170" s="3"/>
      <c r="AS170" s="4"/>
      <c r="AT170" s="4"/>
      <c r="AU170" s="3"/>
      <c r="BB170" s="4"/>
      <c r="BC170" s="3"/>
      <c r="BJ170" s="4"/>
      <c r="BK170" s="3"/>
      <c r="BR170" s="4"/>
      <c r="BS170" s="3"/>
      <c r="BZ170" s="4"/>
    </row>
    <row r="171" ht="14.25" customHeight="1">
      <c r="T171" s="3"/>
      <c r="AA171" s="4"/>
      <c r="AB171" s="4"/>
      <c r="AC171" s="3"/>
      <c r="AK171" s="4"/>
      <c r="AL171" s="3"/>
      <c r="AS171" s="4"/>
      <c r="AT171" s="4"/>
      <c r="AU171" s="3"/>
      <c r="BB171" s="4"/>
      <c r="BC171" s="3"/>
      <c r="BJ171" s="4"/>
      <c r="BK171" s="3"/>
      <c r="BR171" s="4"/>
      <c r="BS171" s="3"/>
      <c r="BZ171" s="4"/>
    </row>
    <row r="172" ht="14.25" customHeight="1">
      <c r="T172" s="3"/>
      <c r="AA172" s="4"/>
      <c r="AB172" s="4"/>
      <c r="AC172" s="3"/>
      <c r="AK172" s="4"/>
      <c r="AL172" s="3"/>
      <c r="AS172" s="4"/>
      <c r="AT172" s="4"/>
      <c r="AU172" s="3"/>
      <c r="BB172" s="4"/>
      <c r="BC172" s="3"/>
      <c r="BJ172" s="4"/>
      <c r="BK172" s="3"/>
      <c r="BR172" s="4"/>
      <c r="BS172" s="3"/>
      <c r="BZ172" s="4"/>
    </row>
    <row r="173" ht="14.25" customHeight="1">
      <c r="T173" s="3"/>
      <c r="AA173" s="4"/>
      <c r="AB173" s="4"/>
      <c r="AC173" s="3"/>
      <c r="AK173" s="4"/>
      <c r="AL173" s="3"/>
      <c r="AS173" s="4"/>
      <c r="AT173" s="4"/>
      <c r="AU173" s="3"/>
      <c r="BB173" s="4"/>
      <c r="BC173" s="3"/>
      <c r="BJ173" s="4"/>
      <c r="BK173" s="3"/>
      <c r="BR173" s="4"/>
      <c r="BS173" s="3"/>
      <c r="BZ173" s="4"/>
    </row>
    <row r="174" ht="14.25" customHeight="1">
      <c r="T174" s="3"/>
      <c r="AA174" s="4"/>
      <c r="AB174" s="4"/>
      <c r="AC174" s="3"/>
      <c r="AK174" s="4"/>
      <c r="AL174" s="3"/>
      <c r="AS174" s="4"/>
      <c r="AT174" s="4"/>
      <c r="AU174" s="3"/>
      <c r="BB174" s="4"/>
      <c r="BC174" s="3"/>
      <c r="BJ174" s="4"/>
      <c r="BK174" s="3"/>
      <c r="BR174" s="4"/>
      <c r="BS174" s="3"/>
      <c r="BZ174" s="4"/>
    </row>
    <row r="175" ht="14.25" customHeight="1">
      <c r="T175" s="3"/>
      <c r="AA175" s="4"/>
      <c r="AB175" s="4"/>
      <c r="AC175" s="3"/>
      <c r="AK175" s="4"/>
      <c r="AL175" s="3"/>
      <c r="AS175" s="4"/>
      <c r="AT175" s="4"/>
      <c r="AU175" s="3"/>
      <c r="BB175" s="4"/>
      <c r="BC175" s="3"/>
      <c r="BJ175" s="4"/>
      <c r="BK175" s="3"/>
      <c r="BR175" s="4"/>
      <c r="BS175" s="3"/>
      <c r="BZ175" s="4"/>
    </row>
    <row r="176" ht="14.25" customHeight="1">
      <c r="T176" s="3"/>
      <c r="AA176" s="4"/>
      <c r="AB176" s="4"/>
      <c r="AC176" s="3"/>
      <c r="AK176" s="4"/>
      <c r="AL176" s="3"/>
      <c r="AS176" s="4"/>
      <c r="AT176" s="4"/>
      <c r="AU176" s="3"/>
      <c r="BB176" s="4"/>
      <c r="BC176" s="3"/>
      <c r="BJ176" s="4"/>
      <c r="BK176" s="3"/>
      <c r="BR176" s="4"/>
      <c r="BS176" s="3"/>
      <c r="BZ176" s="4"/>
    </row>
    <row r="177" ht="14.25" customHeight="1">
      <c r="T177" s="3"/>
      <c r="AA177" s="4"/>
      <c r="AB177" s="4"/>
      <c r="AC177" s="3"/>
      <c r="AK177" s="4"/>
      <c r="AL177" s="3"/>
      <c r="AS177" s="4"/>
      <c r="AT177" s="4"/>
      <c r="AU177" s="3"/>
      <c r="BB177" s="4"/>
      <c r="BC177" s="3"/>
      <c r="BJ177" s="4"/>
      <c r="BK177" s="3"/>
      <c r="BR177" s="4"/>
      <c r="BS177" s="3"/>
      <c r="BZ177" s="4"/>
    </row>
    <row r="178" ht="14.25" customHeight="1">
      <c r="T178" s="3"/>
      <c r="AA178" s="4"/>
      <c r="AB178" s="4"/>
      <c r="AC178" s="3"/>
      <c r="AK178" s="4"/>
      <c r="AL178" s="3"/>
      <c r="AS178" s="4"/>
      <c r="AT178" s="4"/>
      <c r="AU178" s="3"/>
      <c r="BB178" s="4"/>
      <c r="BC178" s="3"/>
      <c r="BJ178" s="4"/>
      <c r="BK178" s="3"/>
      <c r="BR178" s="4"/>
      <c r="BS178" s="3"/>
      <c r="BZ178" s="4"/>
    </row>
    <row r="179" ht="14.25" customHeight="1">
      <c r="T179" s="3"/>
      <c r="AA179" s="4"/>
      <c r="AB179" s="4"/>
      <c r="AC179" s="3"/>
      <c r="AK179" s="4"/>
      <c r="AL179" s="3"/>
      <c r="AS179" s="4"/>
      <c r="AT179" s="4"/>
      <c r="AU179" s="3"/>
      <c r="BB179" s="4"/>
      <c r="BC179" s="3"/>
      <c r="BJ179" s="4"/>
      <c r="BK179" s="3"/>
      <c r="BR179" s="4"/>
      <c r="BS179" s="3"/>
      <c r="BZ179" s="4"/>
    </row>
    <row r="180" ht="14.25" customHeight="1">
      <c r="T180" s="3"/>
      <c r="AA180" s="4"/>
      <c r="AB180" s="4"/>
      <c r="AC180" s="3"/>
      <c r="AK180" s="4"/>
      <c r="AL180" s="3"/>
      <c r="AS180" s="4"/>
      <c r="AT180" s="4"/>
      <c r="AU180" s="3"/>
      <c r="BB180" s="4"/>
      <c r="BC180" s="3"/>
      <c r="BJ180" s="4"/>
      <c r="BK180" s="3"/>
      <c r="BR180" s="4"/>
      <c r="BS180" s="3"/>
      <c r="BZ180" s="4"/>
    </row>
    <row r="181" ht="14.25" customHeight="1">
      <c r="T181" s="3"/>
      <c r="AA181" s="4"/>
      <c r="AB181" s="4"/>
      <c r="AC181" s="3"/>
      <c r="AK181" s="4"/>
      <c r="AL181" s="3"/>
      <c r="AS181" s="4"/>
      <c r="AT181" s="4"/>
      <c r="AU181" s="3"/>
      <c r="BB181" s="4"/>
      <c r="BC181" s="3"/>
      <c r="BJ181" s="4"/>
      <c r="BK181" s="3"/>
      <c r="BR181" s="4"/>
      <c r="BS181" s="3"/>
      <c r="BZ181" s="4"/>
    </row>
    <row r="182" ht="14.25" customHeight="1">
      <c r="T182" s="3"/>
      <c r="AA182" s="4"/>
      <c r="AB182" s="4"/>
      <c r="AC182" s="3"/>
      <c r="AK182" s="4"/>
      <c r="AL182" s="3"/>
      <c r="AS182" s="4"/>
      <c r="AT182" s="4"/>
      <c r="AU182" s="3"/>
      <c r="BB182" s="4"/>
      <c r="BC182" s="3"/>
      <c r="BJ182" s="4"/>
      <c r="BK182" s="3"/>
      <c r="BR182" s="4"/>
      <c r="BS182" s="3"/>
      <c r="BZ182" s="4"/>
    </row>
    <row r="183" ht="14.25" customHeight="1">
      <c r="T183" s="3"/>
      <c r="AA183" s="4"/>
      <c r="AB183" s="4"/>
      <c r="AC183" s="3"/>
      <c r="AK183" s="4"/>
      <c r="AL183" s="3"/>
      <c r="AS183" s="4"/>
      <c r="AT183" s="4"/>
      <c r="AU183" s="3"/>
      <c r="BB183" s="4"/>
      <c r="BC183" s="3"/>
      <c r="BJ183" s="4"/>
      <c r="BK183" s="3"/>
      <c r="BR183" s="4"/>
      <c r="BS183" s="3"/>
      <c r="BZ183" s="4"/>
    </row>
    <row r="184" ht="14.25" customHeight="1">
      <c r="T184" s="3"/>
      <c r="AA184" s="4"/>
      <c r="AB184" s="4"/>
      <c r="AC184" s="3"/>
      <c r="AK184" s="4"/>
      <c r="AL184" s="3"/>
      <c r="AS184" s="4"/>
      <c r="AT184" s="4"/>
      <c r="AU184" s="3"/>
      <c r="BB184" s="4"/>
      <c r="BC184" s="3"/>
      <c r="BJ184" s="4"/>
      <c r="BK184" s="3"/>
      <c r="BR184" s="4"/>
      <c r="BS184" s="3"/>
      <c r="BZ184" s="4"/>
    </row>
    <row r="185" ht="14.25" customHeight="1">
      <c r="T185" s="3"/>
      <c r="AA185" s="4"/>
      <c r="AB185" s="4"/>
      <c r="AC185" s="3"/>
      <c r="AK185" s="4"/>
      <c r="AL185" s="3"/>
      <c r="AS185" s="4"/>
      <c r="AT185" s="4"/>
      <c r="AU185" s="3"/>
      <c r="BB185" s="4"/>
      <c r="BC185" s="3"/>
      <c r="BJ185" s="4"/>
      <c r="BK185" s="3"/>
      <c r="BR185" s="4"/>
      <c r="BS185" s="3"/>
      <c r="BZ185" s="4"/>
    </row>
    <row r="186" ht="14.25" customHeight="1">
      <c r="T186" s="3"/>
      <c r="AA186" s="4"/>
      <c r="AB186" s="4"/>
      <c r="AC186" s="3"/>
      <c r="AK186" s="4"/>
      <c r="AL186" s="3"/>
      <c r="AS186" s="4"/>
      <c r="AT186" s="4"/>
      <c r="AU186" s="3"/>
      <c r="BB186" s="4"/>
      <c r="BC186" s="3"/>
      <c r="BJ186" s="4"/>
      <c r="BK186" s="3"/>
      <c r="BR186" s="4"/>
      <c r="BS186" s="3"/>
      <c r="BZ186" s="4"/>
    </row>
    <row r="187" ht="14.25" customHeight="1">
      <c r="T187" s="3"/>
      <c r="AA187" s="4"/>
      <c r="AB187" s="4"/>
      <c r="AC187" s="3"/>
      <c r="AK187" s="4"/>
      <c r="AL187" s="3"/>
      <c r="AS187" s="4"/>
      <c r="AT187" s="4"/>
      <c r="AU187" s="3"/>
      <c r="BB187" s="4"/>
      <c r="BC187" s="3"/>
      <c r="BJ187" s="4"/>
      <c r="BK187" s="3"/>
      <c r="BR187" s="4"/>
      <c r="BS187" s="3"/>
      <c r="BZ187" s="4"/>
    </row>
    <row r="188" ht="14.25" customHeight="1">
      <c r="T188" s="3"/>
      <c r="AA188" s="4"/>
      <c r="AB188" s="4"/>
      <c r="AC188" s="3"/>
      <c r="AK188" s="4"/>
      <c r="AL188" s="3"/>
      <c r="AS188" s="4"/>
      <c r="AT188" s="4"/>
      <c r="AU188" s="3"/>
      <c r="BB188" s="4"/>
      <c r="BC188" s="3"/>
      <c r="BJ188" s="4"/>
      <c r="BK188" s="3"/>
      <c r="BR188" s="4"/>
      <c r="BS188" s="3"/>
      <c r="BZ188" s="4"/>
    </row>
    <row r="189" ht="14.25" customHeight="1">
      <c r="T189" s="3"/>
      <c r="AA189" s="4"/>
      <c r="AB189" s="4"/>
      <c r="AC189" s="3"/>
      <c r="AK189" s="4"/>
      <c r="AL189" s="3"/>
      <c r="AS189" s="4"/>
      <c r="AT189" s="4"/>
      <c r="AU189" s="3"/>
      <c r="BB189" s="4"/>
      <c r="BC189" s="3"/>
      <c r="BJ189" s="4"/>
      <c r="BK189" s="3"/>
      <c r="BR189" s="4"/>
      <c r="BS189" s="3"/>
      <c r="BZ189" s="4"/>
    </row>
    <row r="190" ht="14.25" customHeight="1">
      <c r="T190" s="3"/>
      <c r="AA190" s="4"/>
      <c r="AB190" s="4"/>
      <c r="AC190" s="3"/>
      <c r="AK190" s="4"/>
      <c r="AL190" s="3"/>
      <c r="AS190" s="4"/>
      <c r="AT190" s="4"/>
      <c r="AU190" s="3"/>
      <c r="BB190" s="4"/>
      <c r="BC190" s="3"/>
      <c r="BJ190" s="4"/>
      <c r="BK190" s="3"/>
      <c r="BR190" s="4"/>
      <c r="BS190" s="3"/>
      <c r="BZ190" s="4"/>
    </row>
    <row r="191" ht="14.25" customHeight="1">
      <c r="T191" s="3"/>
      <c r="AA191" s="4"/>
      <c r="AB191" s="4"/>
      <c r="AC191" s="3"/>
      <c r="AK191" s="4"/>
      <c r="AL191" s="3"/>
      <c r="AS191" s="4"/>
      <c r="AT191" s="4"/>
      <c r="AU191" s="3"/>
      <c r="BB191" s="4"/>
      <c r="BC191" s="3"/>
      <c r="BJ191" s="4"/>
      <c r="BK191" s="3"/>
      <c r="BR191" s="4"/>
      <c r="BS191" s="3"/>
      <c r="BZ191" s="4"/>
    </row>
    <row r="192" ht="14.25" customHeight="1">
      <c r="T192" s="3"/>
      <c r="AA192" s="4"/>
      <c r="AB192" s="4"/>
      <c r="AC192" s="3"/>
      <c r="AK192" s="4"/>
      <c r="AL192" s="3"/>
      <c r="AS192" s="4"/>
      <c r="AT192" s="4"/>
      <c r="AU192" s="3"/>
      <c r="BB192" s="4"/>
      <c r="BC192" s="3"/>
      <c r="BJ192" s="4"/>
      <c r="BK192" s="3"/>
      <c r="BR192" s="4"/>
      <c r="BS192" s="3"/>
      <c r="BZ192" s="4"/>
    </row>
    <row r="193" ht="14.25" customHeight="1">
      <c r="T193" s="3"/>
      <c r="AA193" s="4"/>
      <c r="AB193" s="4"/>
      <c r="AC193" s="3"/>
      <c r="AK193" s="4"/>
      <c r="AL193" s="3"/>
      <c r="AS193" s="4"/>
      <c r="AT193" s="4"/>
      <c r="AU193" s="3"/>
      <c r="BB193" s="4"/>
      <c r="BC193" s="3"/>
      <c r="BJ193" s="4"/>
      <c r="BK193" s="3"/>
      <c r="BR193" s="4"/>
      <c r="BS193" s="3"/>
      <c r="BZ193" s="4"/>
    </row>
    <row r="194" ht="14.25" customHeight="1">
      <c r="T194" s="3"/>
      <c r="AA194" s="4"/>
      <c r="AB194" s="4"/>
      <c r="AC194" s="3"/>
      <c r="AK194" s="4"/>
      <c r="AL194" s="3"/>
      <c r="AS194" s="4"/>
      <c r="AT194" s="4"/>
      <c r="AU194" s="3"/>
      <c r="BB194" s="4"/>
      <c r="BC194" s="3"/>
      <c r="BJ194" s="4"/>
      <c r="BK194" s="3"/>
      <c r="BR194" s="4"/>
      <c r="BS194" s="3"/>
      <c r="BZ194" s="4"/>
    </row>
    <row r="195" ht="14.25" customHeight="1">
      <c r="T195" s="3"/>
      <c r="AA195" s="4"/>
      <c r="AB195" s="4"/>
      <c r="AC195" s="3"/>
      <c r="AK195" s="4"/>
      <c r="AL195" s="3"/>
      <c r="AS195" s="4"/>
      <c r="AT195" s="4"/>
      <c r="AU195" s="3"/>
      <c r="BB195" s="4"/>
      <c r="BC195" s="3"/>
      <c r="BJ195" s="4"/>
      <c r="BK195" s="3"/>
      <c r="BR195" s="4"/>
      <c r="BS195" s="3"/>
      <c r="BZ195" s="4"/>
    </row>
    <row r="196" ht="14.25" customHeight="1">
      <c r="T196" s="3"/>
      <c r="AA196" s="4"/>
      <c r="AB196" s="4"/>
      <c r="AC196" s="3"/>
      <c r="AK196" s="4"/>
      <c r="AL196" s="3"/>
      <c r="AS196" s="4"/>
      <c r="AT196" s="4"/>
      <c r="AU196" s="3"/>
      <c r="BB196" s="4"/>
      <c r="BC196" s="3"/>
      <c r="BJ196" s="4"/>
      <c r="BK196" s="3"/>
      <c r="BR196" s="4"/>
      <c r="BS196" s="3"/>
      <c r="BZ196" s="4"/>
    </row>
    <row r="197" ht="14.25" customHeight="1">
      <c r="T197" s="3"/>
      <c r="AA197" s="4"/>
      <c r="AB197" s="4"/>
      <c r="AC197" s="3"/>
      <c r="AK197" s="4"/>
      <c r="AL197" s="3"/>
      <c r="AS197" s="4"/>
      <c r="AT197" s="4"/>
      <c r="AU197" s="3"/>
      <c r="BB197" s="4"/>
      <c r="BC197" s="3"/>
      <c r="BJ197" s="4"/>
      <c r="BK197" s="3"/>
      <c r="BR197" s="4"/>
      <c r="BS197" s="3"/>
      <c r="BZ197" s="4"/>
    </row>
    <row r="198" ht="14.25" customHeight="1">
      <c r="T198" s="3"/>
      <c r="AA198" s="4"/>
      <c r="AB198" s="4"/>
      <c r="AC198" s="3"/>
      <c r="AK198" s="4"/>
      <c r="AL198" s="3"/>
      <c r="AS198" s="4"/>
      <c r="AT198" s="4"/>
      <c r="AU198" s="3"/>
      <c r="BB198" s="4"/>
      <c r="BC198" s="3"/>
      <c r="BJ198" s="4"/>
      <c r="BK198" s="3"/>
      <c r="BR198" s="4"/>
      <c r="BS198" s="3"/>
      <c r="BZ198" s="4"/>
    </row>
    <row r="199" ht="14.25" customHeight="1">
      <c r="T199" s="3"/>
      <c r="AA199" s="4"/>
      <c r="AB199" s="4"/>
      <c r="AC199" s="3"/>
      <c r="AK199" s="4"/>
      <c r="AL199" s="3"/>
      <c r="AS199" s="4"/>
      <c r="AT199" s="4"/>
      <c r="AU199" s="3"/>
      <c r="BB199" s="4"/>
      <c r="BC199" s="3"/>
      <c r="BJ199" s="4"/>
      <c r="BK199" s="3"/>
      <c r="BR199" s="4"/>
      <c r="BS199" s="3"/>
      <c r="BZ199" s="4"/>
    </row>
    <row r="200" ht="14.25" customHeight="1">
      <c r="T200" s="3"/>
      <c r="AA200" s="4"/>
      <c r="AB200" s="4"/>
      <c r="AC200" s="3"/>
      <c r="AK200" s="4"/>
      <c r="AL200" s="3"/>
      <c r="AS200" s="4"/>
      <c r="AT200" s="4"/>
      <c r="AU200" s="3"/>
      <c r="BB200" s="4"/>
      <c r="BC200" s="3"/>
      <c r="BJ200" s="4"/>
      <c r="BK200" s="3"/>
      <c r="BR200" s="4"/>
      <c r="BS200" s="3"/>
      <c r="BZ200" s="4"/>
    </row>
    <row r="201" ht="14.25" customHeight="1">
      <c r="T201" s="3"/>
      <c r="AA201" s="4"/>
      <c r="AB201" s="4"/>
      <c r="AC201" s="3"/>
      <c r="AK201" s="4"/>
      <c r="AL201" s="3"/>
      <c r="AS201" s="4"/>
      <c r="AT201" s="4"/>
      <c r="AU201" s="3"/>
      <c r="BB201" s="4"/>
      <c r="BC201" s="3"/>
      <c r="BJ201" s="4"/>
      <c r="BK201" s="3"/>
      <c r="BR201" s="4"/>
      <c r="BS201" s="3"/>
      <c r="BZ201" s="4"/>
    </row>
    <row r="202" ht="14.25" customHeight="1">
      <c r="T202" s="3"/>
      <c r="AA202" s="4"/>
      <c r="AB202" s="4"/>
      <c r="AC202" s="3"/>
      <c r="AK202" s="4"/>
      <c r="AL202" s="3"/>
      <c r="AS202" s="4"/>
      <c r="AT202" s="4"/>
      <c r="AU202" s="3"/>
      <c r="BB202" s="4"/>
      <c r="BC202" s="3"/>
      <c r="BJ202" s="4"/>
      <c r="BK202" s="3"/>
      <c r="BR202" s="4"/>
      <c r="BS202" s="3"/>
      <c r="BZ202" s="4"/>
    </row>
    <row r="203" ht="14.25" customHeight="1">
      <c r="T203" s="3"/>
      <c r="AA203" s="4"/>
      <c r="AB203" s="4"/>
      <c r="AC203" s="3"/>
      <c r="AK203" s="4"/>
      <c r="AL203" s="3"/>
      <c r="AS203" s="4"/>
      <c r="AT203" s="4"/>
      <c r="AU203" s="3"/>
      <c r="BB203" s="4"/>
      <c r="BC203" s="3"/>
      <c r="BJ203" s="4"/>
      <c r="BK203" s="3"/>
      <c r="BR203" s="4"/>
      <c r="BS203" s="3"/>
      <c r="BZ203" s="4"/>
    </row>
    <row r="204" ht="14.25" customHeight="1">
      <c r="T204" s="3"/>
      <c r="AA204" s="4"/>
      <c r="AB204" s="4"/>
      <c r="AC204" s="3"/>
      <c r="AK204" s="4"/>
      <c r="AL204" s="3"/>
      <c r="AS204" s="4"/>
      <c r="AT204" s="4"/>
      <c r="AU204" s="3"/>
      <c r="BB204" s="4"/>
      <c r="BC204" s="3"/>
      <c r="BJ204" s="4"/>
      <c r="BK204" s="3"/>
      <c r="BR204" s="4"/>
      <c r="BS204" s="3"/>
      <c r="BZ204" s="4"/>
    </row>
    <row r="205" ht="14.25" customHeight="1">
      <c r="T205" s="3"/>
      <c r="AA205" s="4"/>
      <c r="AB205" s="4"/>
      <c r="AC205" s="3"/>
      <c r="AK205" s="4"/>
      <c r="AL205" s="3"/>
      <c r="AS205" s="4"/>
      <c r="AT205" s="4"/>
      <c r="AU205" s="3"/>
      <c r="BB205" s="4"/>
      <c r="BC205" s="3"/>
      <c r="BJ205" s="4"/>
      <c r="BK205" s="3"/>
      <c r="BR205" s="4"/>
      <c r="BS205" s="3"/>
      <c r="BZ205" s="4"/>
    </row>
    <row r="206" ht="14.25" customHeight="1">
      <c r="T206" s="3"/>
      <c r="AA206" s="4"/>
      <c r="AB206" s="4"/>
      <c r="AC206" s="3"/>
      <c r="AK206" s="4"/>
      <c r="AL206" s="3"/>
      <c r="AS206" s="4"/>
      <c r="AT206" s="4"/>
      <c r="AU206" s="3"/>
      <c r="BB206" s="4"/>
      <c r="BC206" s="3"/>
      <c r="BJ206" s="4"/>
      <c r="BK206" s="3"/>
      <c r="BR206" s="4"/>
      <c r="BS206" s="3"/>
      <c r="BZ206" s="4"/>
    </row>
    <row r="207" ht="14.25" customHeight="1">
      <c r="T207" s="3"/>
      <c r="AA207" s="4"/>
      <c r="AB207" s="4"/>
      <c r="AC207" s="3"/>
      <c r="AK207" s="4"/>
      <c r="AL207" s="3"/>
      <c r="AS207" s="4"/>
      <c r="AT207" s="4"/>
      <c r="AU207" s="3"/>
      <c r="BB207" s="4"/>
      <c r="BC207" s="3"/>
      <c r="BJ207" s="4"/>
      <c r="BK207" s="3"/>
      <c r="BR207" s="4"/>
      <c r="BS207" s="3"/>
      <c r="BZ207" s="4"/>
    </row>
    <row r="208" ht="14.25" customHeight="1">
      <c r="T208" s="3"/>
      <c r="AA208" s="4"/>
      <c r="AB208" s="4"/>
      <c r="AC208" s="3"/>
      <c r="AK208" s="4"/>
      <c r="AL208" s="3"/>
      <c r="AS208" s="4"/>
      <c r="AT208" s="4"/>
      <c r="AU208" s="3"/>
      <c r="BB208" s="4"/>
      <c r="BC208" s="3"/>
      <c r="BJ208" s="4"/>
      <c r="BK208" s="3"/>
      <c r="BR208" s="4"/>
      <c r="BS208" s="3"/>
      <c r="BZ208" s="4"/>
    </row>
    <row r="209" ht="14.25" customHeight="1">
      <c r="T209" s="3"/>
      <c r="AA209" s="4"/>
      <c r="AB209" s="4"/>
      <c r="AC209" s="3"/>
      <c r="AK209" s="4"/>
      <c r="AL209" s="3"/>
      <c r="AS209" s="4"/>
      <c r="AT209" s="4"/>
      <c r="AU209" s="3"/>
      <c r="BB209" s="4"/>
      <c r="BC209" s="3"/>
      <c r="BJ209" s="4"/>
      <c r="BK209" s="3"/>
      <c r="BR209" s="4"/>
      <c r="BS209" s="3"/>
      <c r="BZ209" s="4"/>
    </row>
    <row r="210" ht="14.25" customHeight="1">
      <c r="T210" s="3"/>
      <c r="AA210" s="4"/>
      <c r="AB210" s="4"/>
      <c r="AC210" s="3"/>
      <c r="AK210" s="4"/>
      <c r="AL210" s="3"/>
      <c r="AS210" s="4"/>
      <c r="AT210" s="4"/>
      <c r="AU210" s="3"/>
      <c r="BB210" s="4"/>
      <c r="BC210" s="3"/>
      <c r="BJ210" s="4"/>
      <c r="BK210" s="3"/>
      <c r="BR210" s="4"/>
      <c r="BS210" s="3"/>
      <c r="BZ210" s="4"/>
    </row>
    <row r="211" ht="14.25" customHeight="1">
      <c r="T211" s="3"/>
      <c r="AA211" s="4"/>
      <c r="AB211" s="4"/>
      <c r="AC211" s="3"/>
      <c r="AK211" s="4"/>
      <c r="AL211" s="3"/>
      <c r="AS211" s="4"/>
      <c r="AT211" s="4"/>
      <c r="AU211" s="3"/>
      <c r="BB211" s="4"/>
      <c r="BC211" s="3"/>
      <c r="BJ211" s="4"/>
      <c r="BK211" s="3"/>
      <c r="BR211" s="4"/>
      <c r="BS211" s="3"/>
      <c r="BZ211" s="4"/>
    </row>
    <row r="212" ht="14.25" customHeight="1">
      <c r="T212" s="3"/>
      <c r="AA212" s="4"/>
      <c r="AB212" s="4"/>
      <c r="AC212" s="3"/>
      <c r="AK212" s="4"/>
      <c r="AL212" s="3"/>
      <c r="AS212" s="4"/>
      <c r="AT212" s="4"/>
      <c r="AU212" s="3"/>
      <c r="BB212" s="4"/>
      <c r="BC212" s="3"/>
      <c r="BJ212" s="4"/>
      <c r="BK212" s="3"/>
      <c r="BR212" s="4"/>
      <c r="BS212" s="3"/>
      <c r="BZ212" s="4"/>
    </row>
    <row r="213" ht="14.25" customHeight="1">
      <c r="T213" s="3"/>
      <c r="AA213" s="4"/>
      <c r="AB213" s="4"/>
      <c r="AC213" s="3"/>
      <c r="AK213" s="4"/>
      <c r="AL213" s="3"/>
      <c r="AS213" s="4"/>
      <c r="AT213" s="4"/>
      <c r="AU213" s="3"/>
      <c r="BB213" s="4"/>
      <c r="BC213" s="3"/>
      <c r="BJ213" s="4"/>
      <c r="BK213" s="3"/>
      <c r="BR213" s="4"/>
      <c r="BS213" s="3"/>
      <c r="BZ213" s="4"/>
    </row>
    <row r="214" ht="14.25" customHeight="1">
      <c r="T214" s="3"/>
      <c r="AA214" s="4"/>
      <c r="AB214" s="4"/>
      <c r="AC214" s="3"/>
      <c r="AK214" s="4"/>
      <c r="AL214" s="3"/>
      <c r="AS214" s="4"/>
      <c r="AT214" s="4"/>
      <c r="AU214" s="3"/>
      <c r="BB214" s="4"/>
      <c r="BC214" s="3"/>
      <c r="BJ214" s="4"/>
      <c r="BK214" s="3"/>
      <c r="BR214" s="4"/>
      <c r="BS214" s="3"/>
      <c r="BZ214" s="4"/>
    </row>
    <row r="215" ht="14.25" customHeight="1">
      <c r="T215" s="3"/>
      <c r="AA215" s="4"/>
      <c r="AB215" s="4"/>
      <c r="AC215" s="3"/>
      <c r="AK215" s="4"/>
      <c r="AL215" s="3"/>
      <c r="AS215" s="4"/>
      <c r="AT215" s="4"/>
      <c r="AU215" s="3"/>
      <c r="BB215" s="4"/>
      <c r="BC215" s="3"/>
      <c r="BJ215" s="4"/>
      <c r="BK215" s="3"/>
      <c r="BR215" s="4"/>
      <c r="BS215" s="3"/>
      <c r="BZ215" s="4"/>
    </row>
    <row r="216" ht="14.25" customHeight="1">
      <c r="T216" s="3"/>
      <c r="AA216" s="4"/>
      <c r="AB216" s="4"/>
      <c r="AC216" s="3"/>
      <c r="AK216" s="4"/>
      <c r="AL216" s="3"/>
      <c r="AS216" s="4"/>
      <c r="AT216" s="4"/>
      <c r="AU216" s="3"/>
      <c r="BB216" s="4"/>
      <c r="BC216" s="3"/>
      <c r="BJ216" s="4"/>
      <c r="BK216" s="3"/>
      <c r="BR216" s="4"/>
      <c r="BS216" s="3"/>
      <c r="BZ216" s="4"/>
    </row>
    <row r="217" ht="14.25" customHeight="1">
      <c r="T217" s="3"/>
      <c r="AA217" s="4"/>
      <c r="AB217" s="4"/>
      <c r="AC217" s="3"/>
      <c r="AK217" s="4"/>
      <c r="AL217" s="3"/>
      <c r="AS217" s="4"/>
      <c r="AT217" s="4"/>
      <c r="AU217" s="3"/>
      <c r="BB217" s="4"/>
      <c r="BC217" s="3"/>
      <c r="BJ217" s="4"/>
      <c r="BK217" s="3"/>
      <c r="BR217" s="4"/>
      <c r="BS217" s="3"/>
      <c r="BZ217" s="4"/>
    </row>
    <row r="218" ht="14.25" customHeight="1">
      <c r="T218" s="3"/>
      <c r="AA218" s="4"/>
      <c r="AB218" s="4"/>
      <c r="AC218" s="3"/>
      <c r="AK218" s="4"/>
      <c r="AL218" s="3"/>
      <c r="AS218" s="4"/>
      <c r="AT218" s="4"/>
      <c r="AU218" s="3"/>
      <c r="BB218" s="4"/>
      <c r="BC218" s="3"/>
      <c r="BJ218" s="4"/>
      <c r="BK218" s="3"/>
      <c r="BR218" s="4"/>
      <c r="BS218" s="3"/>
      <c r="BZ218" s="4"/>
    </row>
    <row r="219" ht="14.25" customHeight="1">
      <c r="T219" s="3"/>
      <c r="AA219" s="4"/>
      <c r="AB219" s="4"/>
      <c r="AC219" s="3"/>
      <c r="AK219" s="4"/>
      <c r="AL219" s="3"/>
      <c r="AS219" s="4"/>
      <c r="AT219" s="4"/>
      <c r="AU219" s="3"/>
      <c r="BB219" s="4"/>
      <c r="BC219" s="3"/>
      <c r="BJ219" s="4"/>
      <c r="BK219" s="3"/>
      <c r="BR219" s="4"/>
      <c r="BS219" s="3"/>
      <c r="BZ219" s="4"/>
    </row>
    <row r="220" ht="14.25" customHeight="1">
      <c r="T220" s="3"/>
      <c r="AA220" s="4"/>
      <c r="AB220" s="4"/>
      <c r="AC220" s="3"/>
      <c r="AK220" s="4"/>
      <c r="AL220" s="3"/>
      <c r="AS220" s="4"/>
      <c r="AT220" s="4"/>
      <c r="AU220" s="3"/>
      <c r="BB220" s="4"/>
      <c r="BC220" s="3"/>
      <c r="BJ220" s="4"/>
      <c r="BK220" s="3"/>
      <c r="BR220" s="4"/>
      <c r="BS220" s="3"/>
      <c r="BZ220" s="4"/>
    </row>
    <row r="221" ht="14.25" customHeight="1">
      <c r="T221" s="3"/>
      <c r="AA221" s="4"/>
      <c r="AB221" s="4"/>
      <c r="AC221" s="3"/>
      <c r="AK221" s="4"/>
      <c r="AL221" s="3"/>
      <c r="AS221" s="4"/>
      <c r="AT221" s="4"/>
      <c r="AU221" s="3"/>
      <c r="BB221" s="4"/>
      <c r="BC221" s="3"/>
      <c r="BJ221" s="4"/>
      <c r="BK221" s="3"/>
      <c r="BR221" s="4"/>
      <c r="BS221" s="3"/>
      <c r="BZ221" s="4"/>
    </row>
    <row r="222" ht="14.25" customHeight="1">
      <c r="T222" s="3"/>
      <c r="AA222" s="4"/>
      <c r="AB222" s="4"/>
      <c r="AC222" s="3"/>
      <c r="AK222" s="4"/>
      <c r="AL222" s="3"/>
      <c r="AS222" s="4"/>
      <c r="AT222" s="4"/>
      <c r="AU222" s="3"/>
      <c r="BB222" s="4"/>
      <c r="BC222" s="3"/>
      <c r="BJ222" s="4"/>
      <c r="BK222" s="3"/>
      <c r="BR222" s="4"/>
      <c r="BS222" s="3"/>
      <c r="BZ222" s="4"/>
    </row>
    <row r="223" ht="14.25" customHeight="1">
      <c r="T223" s="3"/>
      <c r="AA223" s="4"/>
      <c r="AB223" s="4"/>
      <c r="AC223" s="3"/>
      <c r="AK223" s="4"/>
      <c r="AL223" s="3"/>
      <c r="AS223" s="4"/>
      <c r="AT223" s="4"/>
      <c r="AU223" s="3"/>
      <c r="BB223" s="4"/>
      <c r="BC223" s="3"/>
      <c r="BJ223" s="4"/>
      <c r="BK223" s="3"/>
      <c r="BR223" s="4"/>
      <c r="BS223" s="3"/>
      <c r="BZ223" s="4"/>
    </row>
    <row r="224" ht="14.25" customHeight="1">
      <c r="T224" s="3"/>
      <c r="AA224" s="4"/>
      <c r="AB224" s="4"/>
      <c r="AC224" s="3"/>
      <c r="AK224" s="4"/>
      <c r="AL224" s="3"/>
      <c r="AS224" s="4"/>
      <c r="AT224" s="4"/>
      <c r="AU224" s="3"/>
      <c r="BB224" s="4"/>
      <c r="BC224" s="3"/>
      <c r="BJ224" s="4"/>
      <c r="BK224" s="3"/>
      <c r="BR224" s="4"/>
      <c r="BS224" s="3"/>
      <c r="BZ224" s="4"/>
    </row>
    <row r="225" ht="14.25" customHeight="1">
      <c r="T225" s="3"/>
      <c r="AA225" s="4"/>
      <c r="AB225" s="4"/>
      <c r="AC225" s="3"/>
      <c r="AK225" s="4"/>
      <c r="AL225" s="3"/>
      <c r="AS225" s="4"/>
      <c r="AT225" s="4"/>
      <c r="AU225" s="3"/>
      <c r="BB225" s="4"/>
      <c r="BC225" s="3"/>
      <c r="BJ225" s="4"/>
      <c r="BK225" s="3"/>
      <c r="BR225" s="4"/>
      <c r="BS225" s="3"/>
      <c r="BZ225" s="4"/>
    </row>
    <row r="226" ht="14.25" customHeight="1">
      <c r="T226" s="3"/>
      <c r="AA226" s="4"/>
      <c r="AB226" s="4"/>
      <c r="AC226" s="3"/>
      <c r="AK226" s="4"/>
      <c r="AL226" s="3"/>
      <c r="AS226" s="4"/>
      <c r="AT226" s="4"/>
      <c r="AU226" s="3"/>
      <c r="BB226" s="4"/>
      <c r="BC226" s="3"/>
      <c r="BJ226" s="4"/>
      <c r="BK226" s="3"/>
      <c r="BR226" s="4"/>
      <c r="BS226" s="3"/>
      <c r="BZ226" s="4"/>
    </row>
    <row r="227" ht="14.25" customHeight="1">
      <c r="T227" s="3"/>
      <c r="AA227" s="4"/>
      <c r="AB227" s="4"/>
      <c r="AC227" s="3"/>
      <c r="AK227" s="4"/>
      <c r="AL227" s="3"/>
      <c r="AS227" s="4"/>
      <c r="AT227" s="4"/>
      <c r="AU227" s="3"/>
      <c r="BB227" s="4"/>
      <c r="BC227" s="3"/>
      <c r="BJ227" s="4"/>
      <c r="BK227" s="3"/>
      <c r="BR227" s="4"/>
      <c r="BS227" s="3"/>
      <c r="BZ227" s="4"/>
    </row>
    <row r="228" ht="14.25" customHeight="1">
      <c r="T228" s="3"/>
      <c r="AA228" s="4"/>
      <c r="AB228" s="4"/>
      <c r="AC228" s="3"/>
      <c r="AK228" s="4"/>
      <c r="AL228" s="3"/>
      <c r="AS228" s="4"/>
      <c r="AT228" s="4"/>
      <c r="AU228" s="3"/>
      <c r="BB228" s="4"/>
      <c r="BC228" s="3"/>
      <c r="BJ228" s="4"/>
      <c r="BK228" s="3"/>
      <c r="BR228" s="4"/>
      <c r="BS228" s="3"/>
      <c r="BZ228" s="4"/>
    </row>
    <row r="229" ht="14.25" customHeight="1">
      <c r="T229" s="3"/>
      <c r="AA229" s="4"/>
      <c r="AB229" s="4"/>
      <c r="AC229" s="3"/>
      <c r="AK229" s="4"/>
      <c r="AL229" s="3"/>
      <c r="AS229" s="4"/>
      <c r="AT229" s="4"/>
      <c r="AU229" s="3"/>
      <c r="BB229" s="4"/>
      <c r="BC229" s="3"/>
      <c r="BJ229" s="4"/>
      <c r="BK229" s="3"/>
      <c r="BR229" s="4"/>
      <c r="BS229" s="3"/>
      <c r="BZ229" s="4"/>
    </row>
    <row r="230" ht="14.25" customHeight="1">
      <c r="T230" s="3"/>
      <c r="AA230" s="4"/>
      <c r="AB230" s="4"/>
      <c r="AC230" s="3"/>
      <c r="AK230" s="4"/>
      <c r="AL230" s="3"/>
      <c r="AS230" s="4"/>
      <c r="AT230" s="4"/>
      <c r="AU230" s="3"/>
      <c r="BB230" s="4"/>
      <c r="BC230" s="3"/>
      <c r="BJ230" s="4"/>
      <c r="BK230" s="3"/>
      <c r="BR230" s="4"/>
      <c r="BS230" s="3"/>
      <c r="BZ230" s="4"/>
    </row>
    <row r="231" ht="14.25" customHeight="1">
      <c r="T231" s="3"/>
      <c r="AA231" s="4"/>
      <c r="AB231" s="4"/>
      <c r="AC231" s="3"/>
      <c r="AK231" s="4"/>
      <c r="AL231" s="3"/>
      <c r="AS231" s="4"/>
      <c r="AT231" s="4"/>
      <c r="AU231" s="3"/>
      <c r="BB231" s="4"/>
      <c r="BC231" s="3"/>
      <c r="BJ231" s="4"/>
      <c r="BK231" s="3"/>
      <c r="BR231" s="4"/>
      <c r="BS231" s="3"/>
      <c r="BZ231" s="4"/>
    </row>
    <row r="232" ht="14.25" customHeight="1">
      <c r="T232" s="3"/>
      <c r="AA232" s="4"/>
      <c r="AB232" s="4"/>
      <c r="AC232" s="3"/>
      <c r="AK232" s="4"/>
      <c r="AL232" s="3"/>
      <c r="AS232" s="4"/>
      <c r="AT232" s="4"/>
      <c r="AU232" s="3"/>
      <c r="BB232" s="4"/>
      <c r="BC232" s="3"/>
      <c r="BJ232" s="4"/>
      <c r="BK232" s="3"/>
      <c r="BR232" s="4"/>
      <c r="BS232" s="3"/>
      <c r="BZ232" s="4"/>
    </row>
    <row r="233" ht="14.25" customHeight="1">
      <c r="T233" s="3"/>
      <c r="AA233" s="4"/>
      <c r="AB233" s="4"/>
      <c r="AC233" s="3"/>
      <c r="AK233" s="4"/>
      <c r="AL233" s="3"/>
      <c r="AS233" s="4"/>
      <c r="AT233" s="4"/>
      <c r="AU233" s="3"/>
      <c r="BB233" s="4"/>
      <c r="BC233" s="3"/>
      <c r="BJ233" s="4"/>
      <c r="BK233" s="3"/>
      <c r="BR233" s="4"/>
      <c r="BS233" s="3"/>
      <c r="BZ233" s="4"/>
    </row>
    <row r="234" ht="14.25" customHeight="1">
      <c r="T234" s="3"/>
      <c r="AA234" s="4"/>
      <c r="AB234" s="4"/>
      <c r="AC234" s="3"/>
      <c r="AK234" s="4"/>
      <c r="AL234" s="3"/>
      <c r="AS234" s="4"/>
      <c r="AT234" s="4"/>
      <c r="AU234" s="3"/>
      <c r="BB234" s="4"/>
      <c r="BC234" s="3"/>
      <c r="BJ234" s="4"/>
      <c r="BK234" s="3"/>
      <c r="BR234" s="4"/>
      <c r="BS234" s="3"/>
      <c r="BZ234" s="4"/>
    </row>
    <row r="235" ht="14.25" customHeight="1">
      <c r="T235" s="3"/>
      <c r="AA235" s="4"/>
      <c r="AB235" s="4"/>
      <c r="AC235" s="3"/>
      <c r="AK235" s="4"/>
      <c r="AL235" s="3"/>
      <c r="AS235" s="4"/>
      <c r="AT235" s="4"/>
      <c r="AU235" s="3"/>
      <c r="BB235" s="4"/>
      <c r="BC235" s="3"/>
      <c r="BJ235" s="4"/>
      <c r="BK235" s="3"/>
      <c r="BR235" s="4"/>
      <c r="BS235" s="3"/>
      <c r="BZ235" s="4"/>
    </row>
    <row r="236" ht="14.25" customHeight="1">
      <c r="T236" s="3"/>
      <c r="AA236" s="4"/>
      <c r="AB236" s="4"/>
      <c r="AC236" s="3"/>
      <c r="AK236" s="4"/>
      <c r="AL236" s="3"/>
      <c r="AS236" s="4"/>
      <c r="AT236" s="4"/>
      <c r="AU236" s="3"/>
      <c r="BB236" s="4"/>
      <c r="BC236" s="3"/>
      <c r="BJ236" s="4"/>
      <c r="BK236" s="3"/>
      <c r="BR236" s="4"/>
      <c r="BS236" s="3"/>
      <c r="BZ236" s="4"/>
    </row>
    <row r="237" ht="14.25" customHeight="1">
      <c r="T237" s="3"/>
      <c r="AA237" s="4"/>
      <c r="AB237" s="4"/>
      <c r="AC237" s="3"/>
      <c r="AK237" s="4"/>
      <c r="AL237" s="3"/>
      <c r="AS237" s="4"/>
      <c r="AT237" s="4"/>
      <c r="AU237" s="3"/>
      <c r="BB237" s="4"/>
      <c r="BC237" s="3"/>
      <c r="BJ237" s="4"/>
      <c r="BK237" s="3"/>
      <c r="BR237" s="4"/>
      <c r="BS237" s="3"/>
      <c r="BZ237" s="4"/>
    </row>
    <row r="238" ht="14.25" customHeight="1">
      <c r="T238" s="3"/>
      <c r="AA238" s="4"/>
      <c r="AB238" s="4"/>
      <c r="AC238" s="3"/>
      <c r="AK238" s="4"/>
      <c r="AL238" s="3"/>
      <c r="AS238" s="4"/>
      <c r="AT238" s="4"/>
      <c r="AU238" s="3"/>
      <c r="BB238" s="4"/>
      <c r="BC238" s="3"/>
      <c r="BJ238" s="4"/>
      <c r="BK238" s="3"/>
      <c r="BR238" s="4"/>
      <c r="BS238" s="3"/>
      <c r="BZ238" s="4"/>
    </row>
    <row r="239" ht="14.25" customHeight="1">
      <c r="T239" s="3"/>
      <c r="AA239" s="4"/>
      <c r="AB239" s="4"/>
      <c r="AC239" s="3"/>
      <c r="AK239" s="4"/>
      <c r="AL239" s="3"/>
      <c r="AS239" s="4"/>
      <c r="AT239" s="4"/>
      <c r="AU239" s="3"/>
      <c r="BB239" s="4"/>
      <c r="BC239" s="3"/>
      <c r="BJ239" s="4"/>
      <c r="BK239" s="3"/>
      <c r="BR239" s="4"/>
      <c r="BS239" s="3"/>
      <c r="BZ239" s="4"/>
    </row>
    <row r="240" ht="14.25" customHeight="1">
      <c r="T240" s="3"/>
      <c r="AA240" s="4"/>
      <c r="AB240" s="4"/>
      <c r="AC240" s="3"/>
      <c r="AK240" s="4"/>
      <c r="AL240" s="3"/>
      <c r="AS240" s="4"/>
      <c r="AT240" s="4"/>
      <c r="AU240" s="3"/>
      <c r="BB240" s="4"/>
      <c r="BC240" s="3"/>
      <c r="BJ240" s="4"/>
      <c r="BK240" s="3"/>
      <c r="BR240" s="4"/>
      <c r="BS240" s="3"/>
      <c r="BZ240" s="4"/>
    </row>
    <row r="241" ht="14.25" customHeight="1">
      <c r="T241" s="3"/>
      <c r="AA241" s="4"/>
      <c r="AB241" s="4"/>
      <c r="AC241" s="3"/>
      <c r="AK241" s="4"/>
      <c r="AL241" s="3"/>
      <c r="AS241" s="4"/>
      <c r="AT241" s="4"/>
      <c r="AU241" s="3"/>
      <c r="BB241" s="4"/>
      <c r="BC241" s="3"/>
      <c r="BJ241" s="4"/>
      <c r="BK241" s="3"/>
      <c r="BR241" s="4"/>
      <c r="BS241" s="3"/>
      <c r="BZ241" s="4"/>
    </row>
    <row r="242" ht="14.25" customHeight="1">
      <c r="T242" s="3"/>
      <c r="AA242" s="4"/>
      <c r="AB242" s="4"/>
      <c r="AC242" s="3"/>
      <c r="AK242" s="4"/>
      <c r="AL242" s="3"/>
      <c r="AS242" s="4"/>
      <c r="AT242" s="4"/>
      <c r="AU242" s="3"/>
      <c r="BB242" s="4"/>
      <c r="BC242" s="3"/>
      <c r="BJ242" s="4"/>
      <c r="BK242" s="3"/>
      <c r="BR242" s="4"/>
      <c r="BS242" s="3"/>
      <c r="BZ242" s="4"/>
    </row>
    <row r="243" ht="14.25" customHeight="1">
      <c r="T243" s="3"/>
      <c r="AA243" s="4"/>
      <c r="AB243" s="4"/>
      <c r="AC243" s="3"/>
      <c r="AK243" s="4"/>
      <c r="AL243" s="3"/>
      <c r="AS243" s="4"/>
      <c r="AT243" s="4"/>
      <c r="AU243" s="3"/>
      <c r="BB243" s="4"/>
      <c r="BC243" s="3"/>
      <c r="BJ243" s="4"/>
      <c r="BK243" s="3"/>
      <c r="BR243" s="4"/>
      <c r="BS243" s="3"/>
      <c r="BZ243" s="4"/>
    </row>
    <row r="244" ht="14.25" customHeight="1">
      <c r="T244" s="3"/>
      <c r="AA244" s="4"/>
      <c r="AB244" s="4"/>
      <c r="AC244" s="3"/>
      <c r="AK244" s="4"/>
      <c r="AL244" s="3"/>
      <c r="AS244" s="4"/>
      <c r="AT244" s="4"/>
      <c r="AU244" s="3"/>
      <c r="BB244" s="4"/>
      <c r="BC244" s="3"/>
      <c r="BJ244" s="4"/>
      <c r="BK244" s="3"/>
      <c r="BR244" s="4"/>
      <c r="BS244" s="3"/>
      <c r="BZ244" s="4"/>
    </row>
    <row r="245" ht="14.25" customHeight="1">
      <c r="T245" s="3"/>
      <c r="AA245" s="4"/>
      <c r="AB245" s="4"/>
      <c r="AC245" s="3"/>
      <c r="AK245" s="4"/>
      <c r="AL245" s="3"/>
      <c r="AS245" s="4"/>
      <c r="AT245" s="4"/>
      <c r="AU245" s="3"/>
      <c r="BB245" s="4"/>
      <c r="BC245" s="3"/>
      <c r="BJ245" s="4"/>
      <c r="BK245" s="3"/>
      <c r="BR245" s="4"/>
      <c r="BS245" s="3"/>
      <c r="BZ245" s="4"/>
    </row>
    <row r="246" ht="14.25" customHeight="1">
      <c r="T246" s="3"/>
      <c r="AA246" s="4"/>
      <c r="AB246" s="4"/>
      <c r="AC246" s="3"/>
      <c r="AK246" s="4"/>
      <c r="AL246" s="3"/>
      <c r="AS246" s="4"/>
      <c r="AT246" s="4"/>
      <c r="AU246" s="3"/>
      <c r="BB246" s="4"/>
      <c r="BC246" s="3"/>
      <c r="BJ246" s="4"/>
      <c r="BK246" s="3"/>
      <c r="BR246" s="4"/>
      <c r="BS246" s="3"/>
      <c r="BZ246" s="4"/>
    </row>
    <row r="247" ht="14.25" customHeight="1">
      <c r="T247" s="3"/>
      <c r="AA247" s="4"/>
      <c r="AB247" s="4"/>
      <c r="AC247" s="3"/>
      <c r="AK247" s="4"/>
      <c r="AL247" s="3"/>
      <c r="AS247" s="4"/>
      <c r="AT247" s="4"/>
      <c r="AU247" s="3"/>
      <c r="BB247" s="4"/>
      <c r="BC247" s="3"/>
      <c r="BJ247" s="4"/>
      <c r="BK247" s="3"/>
      <c r="BR247" s="4"/>
      <c r="BS247" s="3"/>
      <c r="BZ247" s="4"/>
    </row>
    <row r="248" ht="14.25" customHeight="1">
      <c r="T248" s="3"/>
      <c r="AA248" s="4"/>
      <c r="AB248" s="4"/>
      <c r="AC248" s="3"/>
      <c r="AK248" s="4"/>
      <c r="AL248" s="3"/>
      <c r="AS248" s="4"/>
      <c r="AT248" s="4"/>
      <c r="AU248" s="3"/>
      <c r="BB248" s="4"/>
      <c r="BC248" s="3"/>
      <c r="BJ248" s="4"/>
      <c r="BK248" s="3"/>
      <c r="BR248" s="4"/>
      <c r="BS248" s="3"/>
      <c r="BZ248" s="4"/>
    </row>
    <row r="249" ht="14.25" customHeight="1">
      <c r="T249" s="3"/>
      <c r="AA249" s="4"/>
      <c r="AB249" s="4"/>
      <c r="AC249" s="3"/>
      <c r="AK249" s="4"/>
      <c r="AL249" s="3"/>
      <c r="AS249" s="4"/>
      <c r="AT249" s="4"/>
      <c r="AU249" s="3"/>
      <c r="BB249" s="4"/>
      <c r="BC249" s="3"/>
      <c r="BJ249" s="4"/>
      <c r="BK249" s="3"/>
      <c r="BR249" s="4"/>
      <c r="BS249" s="3"/>
      <c r="BZ249" s="4"/>
    </row>
    <row r="250" ht="14.25" customHeight="1">
      <c r="T250" s="3"/>
      <c r="AA250" s="4"/>
      <c r="AB250" s="4"/>
      <c r="AC250" s="3"/>
      <c r="AK250" s="4"/>
      <c r="AL250" s="3"/>
      <c r="AS250" s="4"/>
      <c r="AT250" s="4"/>
      <c r="AU250" s="3"/>
      <c r="BB250" s="4"/>
      <c r="BC250" s="3"/>
      <c r="BJ250" s="4"/>
      <c r="BK250" s="3"/>
      <c r="BR250" s="4"/>
      <c r="BS250" s="3"/>
      <c r="BZ250" s="4"/>
    </row>
    <row r="251" ht="14.25" customHeight="1">
      <c r="T251" s="3"/>
      <c r="AA251" s="4"/>
      <c r="AB251" s="4"/>
      <c r="AC251" s="3"/>
      <c r="AK251" s="4"/>
      <c r="AL251" s="3"/>
      <c r="AS251" s="4"/>
      <c r="AT251" s="4"/>
      <c r="AU251" s="3"/>
      <c r="BB251" s="4"/>
      <c r="BC251" s="3"/>
      <c r="BJ251" s="4"/>
      <c r="BK251" s="3"/>
      <c r="BR251" s="4"/>
      <c r="BS251" s="3"/>
      <c r="BZ251" s="4"/>
    </row>
    <row r="252" ht="14.25" customHeight="1">
      <c r="T252" s="3"/>
      <c r="AA252" s="4"/>
      <c r="AB252" s="4"/>
      <c r="AC252" s="3"/>
      <c r="AK252" s="4"/>
      <c r="AL252" s="3"/>
      <c r="AS252" s="4"/>
      <c r="AT252" s="4"/>
      <c r="AU252" s="3"/>
      <c r="BB252" s="4"/>
      <c r="BC252" s="3"/>
      <c r="BJ252" s="4"/>
      <c r="BK252" s="3"/>
      <c r="BR252" s="4"/>
      <c r="BS252" s="3"/>
      <c r="BZ252" s="4"/>
    </row>
    <row r="253" ht="14.25" customHeight="1">
      <c r="T253" s="3"/>
      <c r="AA253" s="4"/>
      <c r="AB253" s="4"/>
      <c r="AC253" s="3"/>
      <c r="AK253" s="4"/>
      <c r="AL253" s="3"/>
      <c r="AS253" s="4"/>
      <c r="AT253" s="4"/>
      <c r="AU253" s="3"/>
      <c r="BB253" s="4"/>
      <c r="BC253" s="3"/>
      <c r="BJ253" s="4"/>
      <c r="BK253" s="3"/>
      <c r="BR253" s="4"/>
      <c r="BS253" s="3"/>
      <c r="BZ253" s="4"/>
    </row>
    <row r="254" ht="14.25" customHeight="1">
      <c r="T254" s="3"/>
      <c r="AA254" s="4"/>
      <c r="AB254" s="4"/>
      <c r="AC254" s="3"/>
      <c r="AK254" s="4"/>
      <c r="AL254" s="3"/>
      <c r="AS254" s="4"/>
      <c r="AT254" s="4"/>
      <c r="AU254" s="3"/>
      <c r="BB254" s="4"/>
      <c r="BC254" s="3"/>
      <c r="BJ254" s="4"/>
      <c r="BK254" s="3"/>
      <c r="BR254" s="4"/>
      <c r="BS254" s="3"/>
      <c r="BZ254" s="4"/>
    </row>
    <row r="255" ht="14.25" customHeight="1">
      <c r="T255" s="3"/>
      <c r="AA255" s="4"/>
      <c r="AB255" s="4"/>
      <c r="AC255" s="3"/>
      <c r="AK255" s="4"/>
      <c r="AL255" s="3"/>
      <c r="AS255" s="4"/>
      <c r="AT255" s="4"/>
      <c r="AU255" s="3"/>
      <c r="BB255" s="4"/>
      <c r="BC255" s="3"/>
      <c r="BJ255" s="4"/>
      <c r="BK255" s="3"/>
      <c r="BR255" s="4"/>
      <c r="BS255" s="3"/>
      <c r="BZ255" s="4"/>
    </row>
    <row r="256" ht="14.25" customHeight="1">
      <c r="T256" s="3"/>
      <c r="AA256" s="4"/>
      <c r="AB256" s="4"/>
      <c r="AC256" s="3"/>
      <c r="AK256" s="4"/>
      <c r="AL256" s="3"/>
      <c r="AS256" s="4"/>
      <c r="AT256" s="4"/>
      <c r="AU256" s="3"/>
      <c r="BB256" s="4"/>
      <c r="BC256" s="3"/>
      <c r="BJ256" s="4"/>
      <c r="BK256" s="3"/>
      <c r="BR256" s="4"/>
      <c r="BS256" s="3"/>
      <c r="BZ256" s="4"/>
    </row>
    <row r="257" ht="14.25" customHeight="1">
      <c r="T257" s="3"/>
      <c r="AA257" s="4"/>
      <c r="AB257" s="4"/>
      <c r="AC257" s="3"/>
      <c r="AK257" s="4"/>
      <c r="AL257" s="3"/>
      <c r="AS257" s="4"/>
      <c r="AT257" s="4"/>
      <c r="AU257" s="3"/>
      <c r="BB257" s="4"/>
      <c r="BC257" s="3"/>
      <c r="BJ257" s="4"/>
      <c r="BK257" s="3"/>
      <c r="BR257" s="4"/>
      <c r="BS257" s="3"/>
      <c r="BZ257" s="4"/>
    </row>
    <row r="258" ht="14.25" customHeight="1">
      <c r="T258" s="3"/>
      <c r="AA258" s="4"/>
      <c r="AB258" s="4"/>
      <c r="AC258" s="3"/>
      <c r="AK258" s="4"/>
      <c r="AL258" s="3"/>
      <c r="AS258" s="4"/>
      <c r="AT258" s="4"/>
      <c r="AU258" s="3"/>
      <c r="BB258" s="4"/>
      <c r="BC258" s="3"/>
      <c r="BJ258" s="4"/>
      <c r="BK258" s="3"/>
      <c r="BR258" s="4"/>
      <c r="BS258" s="3"/>
      <c r="BZ258" s="4"/>
    </row>
    <row r="259" ht="14.25" customHeight="1">
      <c r="T259" s="3"/>
      <c r="AA259" s="4"/>
      <c r="AB259" s="4"/>
      <c r="AC259" s="3"/>
      <c r="AK259" s="4"/>
      <c r="AL259" s="3"/>
      <c r="AS259" s="4"/>
      <c r="AT259" s="4"/>
      <c r="AU259" s="3"/>
      <c r="BB259" s="4"/>
      <c r="BC259" s="3"/>
      <c r="BJ259" s="4"/>
      <c r="BK259" s="3"/>
      <c r="BR259" s="4"/>
      <c r="BS259" s="3"/>
      <c r="BZ259" s="4"/>
    </row>
    <row r="260" ht="14.25" customHeight="1">
      <c r="T260" s="3"/>
      <c r="AA260" s="4"/>
      <c r="AB260" s="4"/>
      <c r="AC260" s="3"/>
      <c r="AK260" s="4"/>
      <c r="AL260" s="3"/>
      <c r="AS260" s="4"/>
      <c r="AT260" s="4"/>
      <c r="AU260" s="3"/>
      <c r="BB260" s="4"/>
      <c r="BC260" s="3"/>
      <c r="BJ260" s="4"/>
      <c r="BK260" s="3"/>
      <c r="BR260" s="4"/>
      <c r="BS260" s="3"/>
      <c r="BZ260" s="4"/>
    </row>
    <row r="261" ht="14.25" customHeight="1">
      <c r="T261" s="3"/>
      <c r="AA261" s="4"/>
      <c r="AB261" s="4"/>
      <c r="AC261" s="3"/>
      <c r="AK261" s="4"/>
      <c r="AL261" s="3"/>
      <c r="AS261" s="4"/>
      <c r="AT261" s="4"/>
      <c r="AU261" s="3"/>
      <c r="BB261" s="4"/>
      <c r="BC261" s="3"/>
      <c r="BJ261" s="4"/>
      <c r="BK261" s="3"/>
      <c r="BR261" s="4"/>
      <c r="BS261" s="3"/>
      <c r="BZ261" s="4"/>
    </row>
    <row r="262" ht="14.25" customHeight="1">
      <c r="T262" s="3"/>
      <c r="AA262" s="4"/>
      <c r="AB262" s="4"/>
      <c r="AC262" s="3"/>
      <c r="AK262" s="4"/>
      <c r="AL262" s="3"/>
      <c r="AS262" s="4"/>
      <c r="AT262" s="4"/>
      <c r="AU262" s="3"/>
      <c r="BB262" s="4"/>
      <c r="BC262" s="3"/>
      <c r="BJ262" s="4"/>
      <c r="BK262" s="3"/>
      <c r="BR262" s="4"/>
      <c r="BS262" s="3"/>
      <c r="BZ262" s="4"/>
    </row>
    <row r="263" ht="14.25" customHeight="1">
      <c r="T263" s="3"/>
      <c r="AA263" s="4"/>
      <c r="AB263" s="4"/>
      <c r="AC263" s="3"/>
      <c r="AK263" s="4"/>
      <c r="AL263" s="3"/>
      <c r="AS263" s="4"/>
      <c r="AT263" s="4"/>
      <c r="AU263" s="3"/>
      <c r="BB263" s="4"/>
      <c r="BC263" s="3"/>
      <c r="BJ263" s="4"/>
      <c r="BK263" s="3"/>
      <c r="BR263" s="4"/>
      <c r="BS263" s="3"/>
      <c r="BZ263" s="4"/>
    </row>
    <row r="264" ht="14.25" customHeight="1">
      <c r="T264" s="3"/>
      <c r="AA264" s="4"/>
      <c r="AB264" s="4"/>
      <c r="AC264" s="3"/>
      <c r="AK264" s="4"/>
      <c r="AL264" s="3"/>
      <c r="AS264" s="4"/>
      <c r="AT264" s="4"/>
      <c r="AU264" s="3"/>
      <c r="BB264" s="4"/>
      <c r="BC264" s="3"/>
      <c r="BJ264" s="4"/>
      <c r="BK264" s="3"/>
      <c r="BR264" s="4"/>
      <c r="BS264" s="3"/>
      <c r="BZ264" s="4"/>
    </row>
    <row r="265" ht="14.25" customHeight="1">
      <c r="T265" s="3"/>
      <c r="AA265" s="4"/>
      <c r="AB265" s="4"/>
      <c r="AC265" s="3"/>
      <c r="AK265" s="4"/>
      <c r="AL265" s="3"/>
      <c r="AS265" s="4"/>
      <c r="AT265" s="4"/>
      <c r="AU265" s="3"/>
      <c r="BB265" s="4"/>
      <c r="BC265" s="3"/>
      <c r="BJ265" s="4"/>
      <c r="BK265" s="3"/>
      <c r="BR265" s="4"/>
      <c r="BS265" s="3"/>
      <c r="BZ265" s="4"/>
    </row>
    <row r="266" ht="14.25" customHeight="1">
      <c r="T266" s="3"/>
      <c r="AA266" s="4"/>
      <c r="AB266" s="4"/>
      <c r="AC266" s="3"/>
      <c r="AK266" s="4"/>
      <c r="AL266" s="3"/>
      <c r="AS266" s="4"/>
      <c r="AT266" s="4"/>
      <c r="AU266" s="3"/>
      <c r="BB266" s="4"/>
      <c r="BC266" s="3"/>
      <c r="BJ266" s="4"/>
      <c r="BK266" s="3"/>
      <c r="BR266" s="4"/>
      <c r="BS266" s="3"/>
      <c r="BZ266" s="4"/>
    </row>
    <row r="267" ht="14.25" customHeight="1">
      <c r="T267" s="3"/>
      <c r="AA267" s="4"/>
      <c r="AB267" s="4"/>
      <c r="AC267" s="3"/>
      <c r="AK267" s="4"/>
      <c r="AL267" s="3"/>
      <c r="AS267" s="4"/>
      <c r="AT267" s="4"/>
      <c r="AU267" s="3"/>
      <c r="BB267" s="4"/>
      <c r="BC267" s="3"/>
      <c r="BJ267" s="4"/>
      <c r="BK267" s="3"/>
      <c r="BR267" s="4"/>
      <c r="BS267" s="3"/>
      <c r="BZ267" s="4"/>
    </row>
    <row r="268" ht="14.25" customHeight="1">
      <c r="T268" s="3"/>
      <c r="AA268" s="4"/>
      <c r="AB268" s="4"/>
      <c r="AC268" s="3"/>
      <c r="AK268" s="4"/>
      <c r="AL268" s="3"/>
      <c r="AS268" s="4"/>
      <c r="AT268" s="4"/>
      <c r="AU268" s="3"/>
      <c r="BB268" s="4"/>
      <c r="BC268" s="3"/>
      <c r="BJ268" s="4"/>
      <c r="BK268" s="3"/>
      <c r="BR268" s="4"/>
      <c r="BS268" s="3"/>
      <c r="BZ268" s="4"/>
    </row>
    <row r="269" ht="14.25" customHeight="1">
      <c r="T269" s="3"/>
      <c r="AA269" s="4"/>
      <c r="AB269" s="4"/>
      <c r="AC269" s="3"/>
      <c r="AK269" s="4"/>
      <c r="AL269" s="3"/>
      <c r="AS269" s="4"/>
      <c r="AT269" s="4"/>
      <c r="AU269" s="3"/>
      <c r="BB269" s="4"/>
      <c r="BC269" s="3"/>
      <c r="BJ269" s="4"/>
      <c r="BK269" s="3"/>
      <c r="BR269" s="4"/>
      <c r="BS269" s="3"/>
      <c r="BZ269" s="4"/>
    </row>
    <row r="270" ht="14.25" customHeight="1">
      <c r="T270" s="3"/>
      <c r="AA270" s="4"/>
      <c r="AB270" s="4"/>
      <c r="AC270" s="3"/>
      <c r="AK270" s="4"/>
      <c r="AL270" s="3"/>
      <c r="AS270" s="4"/>
      <c r="AT270" s="4"/>
      <c r="AU270" s="3"/>
      <c r="BB270" s="4"/>
      <c r="BC270" s="3"/>
      <c r="BJ270" s="4"/>
      <c r="BK270" s="3"/>
      <c r="BR270" s="4"/>
      <c r="BS270" s="3"/>
      <c r="BZ270" s="4"/>
    </row>
    <row r="271" ht="14.25" customHeight="1">
      <c r="T271" s="3"/>
      <c r="AA271" s="4"/>
      <c r="AB271" s="4"/>
      <c r="AC271" s="3"/>
      <c r="AK271" s="4"/>
      <c r="AL271" s="3"/>
      <c r="AS271" s="4"/>
      <c r="AT271" s="4"/>
      <c r="AU271" s="3"/>
      <c r="BB271" s="4"/>
      <c r="BC271" s="3"/>
      <c r="BJ271" s="4"/>
      <c r="BK271" s="3"/>
      <c r="BR271" s="4"/>
      <c r="BS271" s="3"/>
      <c r="BZ271" s="4"/>
    </row>
    <row r="272" ht="14.25" customHeight="1">
      <c r="T272" s="3"/>
      <c r="AA272" s="4"/>
      <c r="AB272" s="4"/>
      <c r="AC272" s="3"/>
      <c r="AK272" s="4"/>
      <c r="AL272" s="3"/>
      <c r="AS272" s="4"/>
      <c r="AT272" s="4"/>
      <c r="AU272" s="3"/>
      <c r="BB272" s="4"/>
      <c r="BC272" s="3"/>
      <c r="BJ272" s="4"/>
      <c r="BK272" s="3"/>
      <c r="BR272" s="4"/>
      <c r="BS272" s="3"/>
      <c r="BZ272" s="4"/>
    </row>
    <row r="273" ht="14.25" customHeight="1">
      <c r="T273" s="3"/>
      <c r="AA273" s="4"/>
      <c r="AB273" s="4"/>
      <c r="AC273" s="3"/>
      <c r="AK273" s="4"/>
      <c r="AL273" s="3"/>
      <c r="AS273" s="4"/>
      <c r="AT273" s="4"/>
      <c r="AU273" s="3"/>
      <c r="BB273" s="4"/>
      <c r="BC273" s="3"/>
      <c r="BJ273" s="4"/>
      <c r="BK273" s="3"/>
      <c r="BR273" s="4"/>
      <c r="BS273" s="3"/>
      <c r="BZ273" s="4"/>
    </row>
    <row r="274" ht="14.25" customHeight="1">
      <c r="T274" s="3"/>
      <c r="AA274" s="4"/>
      <c r="AB274" s="4"/>
      <c r="AC274" s="3"/>
      <c r="AK274" s="4"/>
      <c r="AL274" s="3"/>
      <c r="AS274" s="4"/>
      <c r="AT274" s="4"/>
      <c r="AU274" s="3"/>
      <c r="BB274" s="4"/>
      <c r="BC274" s="3"/>
      <c r="BJ274" s="4"/>
      <c r="BK274" s="3"/>
      <c r="BR274" s="4"/>
      <c r="BS274" s="3"/>
      <c r="BZ274" s="4"/>
    </row>
    <row r="275" ht="14.25" customHeight="1">
      <c r="T275" s="3"/>
      <c r="AA275" s="4"/>
      <c r="AB275" s="4"/>
      <c r="AC275" s="3"/>
      <c r="AK275" s="4"/>
      <c r="AL275" s="3"/>
      <c r="AS275" s="4"/>
      <c r="AT275" s="4"/>
      <c r="AU275" s="3"/>
      <c r="BB275" s="4"/>
      <c r="BC275" s="3"/>
      <c r="BJ275" s="4"/>
      <c r="BK275" s="3"/>
      <c r="BR275" s="4"/>
      <c r="BS275" s="3"/>
      <c r="BZ275" s="4"/>
    </row>
    <row r="276" ht="14.25" customHeight="1">
      <c r="T276" s="3"/>
      <c r="AA276" s="4"/>
      <c r="AB276" s="4"/>
      <c r="AC276" s="3"/>
      <c r="AK276" s="4"/>
      <c r="AL276" s="3"/>
      <c r="AS276" s="4"/>
      <c r="AT276" s="4"/>
      <c r="AU276" s="3"/>
      <c r="BB276" s="4"/>
      <c r="BC276" s="3"/>
      <c r="BJ276" s="4"/>
      <c r="BK276" s="3"/>
      <c r="BR276" s="4"/>
      <c r="BS276" s="3"/>
      <c r="BZ276" s="4"/>
    </row>
    <row r="277" ht="14.25" customHeight="1">
      <c r="T277" s="3"/>
      <c r="AA277" s="4"/>
      <c r="AB277" s="4"/>
      <c r="AC277" s="3"/>
      <c r="AK277" s="4"/>
      <c r="AL277" s="3"/>
      <c r="AS277" s="4"/>
      <c r="AT277" s="4"/>
      <c r="AU277" s="3"/>
      <c r="BB277" s="4"/>
      <c r="BC277" s="3"/>
      <c r="BJ277" s="4"/>
      <c r="BK277" s="3"/>
      <c r="BR277" s="4"/>
      <c r="BS277" s="3"/>
      <c r="BZ277" s="4"/>
    </row>
    <row r="278" ht="14.25" customHeight="1">
      <c r="T278" s="3"/>
      <c r="AA278" s="4"/>
      <c r="AB278" s="4"/>
      <c r="AC278" s="3"/>
      <c r="AK278" s="4"/>
      <c r="AL278" s="3"/>
      <c r="AS278" s="4"/>
      <c r="AT278" s="4"/>
      <c r="AU278" s="3"/>
      <c r="BB278" s="4"/>
      <c r="BC278" s="3"/>
      <c r="BJ278" s="4"/>
      <c r="BK278" s="3"/>
      <c r="BR278" s="4"/>
      <c r="BS278" s="3"/>
      <c r="BZ278" s="4"/>
    </row>
    <row r="279" ht="14.25" customHeight="1">
      <c r="T279" s="3"/>
      <c r="AA279" s="4"/>
      <c r="AB279" s="4"/>
      <c r="AC279" s="3"/>
      <c r="AK279" s="4"/>
      <c r="AL279" s="3"/>
      <c r="AS279" s="4"/>
      <c r="AT279" s="4"/>
      <c r="AU279" s="3"/>
      <c r="BB279" s="4"/>
      <c r="BC279" s="3"/>
      <c r="BJ279" s="4"/>
      <c r="BK279" s="3"/>
      <c r="BR279" s="4"/>
      <c r="BS279" s="3"/>
      <c r="BZ279" s="4"/>
    </row>
    <row r="280" ht="14.25" customHeight="1">
      <c r="T280" s="3"/>
      <c r="AA280" s="4"/>
      <c r="AB280" s="4"/>
      <c r="AC280" s="3"/>
      <c r="AK280" s="4"/>
      <c r="AL280" s="3"/>
      <c r="AS280" s="4"/>
      <c r="AT280" s="4"/>
      <c r="AU280" s="3"/>
      <c r="BB280" s="4"/>
      <c r="BC280" s="3"/>
      <c r="BJ280" s="4"/>
      <c r="BK280" s="3"/>
      <c r="BR280" s="4"/>
      <c r="BS280" s="3"/>
      <c r="BZ280" s="4"/>
    </row>
    <row r="281" ht="14.25" customHeight="1">
      <c r="T281" s="3"/>
      <c r="AA281" s="4"/>
      <c r="AB281" s="4"/>
      <c r="AC281" s="3"/>
      <c r="AK281" s="4"/>
      <c r="AL281" s="3"/>
      <c r="AS281" s="4"/>
      <c r="AT281" s="4"/>
      <c r="AU281" s="3"/>
      <c r="BB281" s="4"/>
      <c r="BC281" s="3"/>
      <c r="BJ281" s="4"/>
      <c r="BK281" s="3"/>
      <c r="BR281" s="4"/>
      <c r="BS281" s="3"/>
      <c r="BZ281" s="4"/>
    </row>
    <row r="282" ht="14.25" customHeight="1">
      <c r="T282" s="3"/>
      <c r="AA282" s="4"/>
      <c r="AB282" s="4"/>
      <c r="AC282" s="3"/>
      <c r="AK282" s="4"/>
      <c r="AL282" s="3"/>
      <c r="AS282" s="4"/>
      <c r="AT282" s="4"/>
      <c r="AU282" s="3"/>
      <c r="BB282" s="4"/>
      <c r="BC282" s="3"/>
      <c r="BJ282" s="4"/>
      <c r="BK282" s="3"/>
      <c r="BR282" s="4"/>
      <c r="BS282" s="3"/>
      <c r="BZ282" s="4"/>
    </row>
    <row r="283" ht="14.25" customHeight="1">
      <c r="T283" s="3"/>
      <c r="AA283" s="4"/>
      <c r="AB283" s="4"/>
      <c r="AC283" s="3"/>
      <c r="AK283" s="4"/>
      <c r="AL283" s="3"/>
      <c r="AS283" s="4"/>
      <c r="AT283" s="4"/>
      <c r="AU283" s="3"/>
      <c r="BB283" s="4"/>
      <c r="BC283" s="3"/>
      <c r="BJ283" s="4"/>
      <c r="BK283" s="3"/>
      <c r="BR283" s="4"/>
      <c r="BS283" s="3"/>
      <c r="BZ283" s="4"/>
    </row>
    <row r="284" ht="14.25" customHeight="1">
      <c r="T284" s="3"/>
      <c r="AA284" s="4"/>
      <c r="AB284" s="4"/>
      <c r="AC284" s="3"/>
      <c r="AK284" s="4"/>
      <c r="AL284" s="3"/>
      <c r="AS284" s="4"/>
      <c r="AT284" s="4"/>
      <c r="AU284" s="3"/>
      <c r="BB284" s="4"/>
      <c r="BC284" s="3"/>
      <c r="BJ284" s="4"/>
      <c r="BK284" s="3"/>
      <c r="BR284" s="4"/>
      <c r="BS284" s="3"/>
      <c r="BZ284" s="4"/>
    </row>
    <row r="285" ht="14.25" customHeight="1">
      <c r="T285" s="3"/>
      <c r="AA285" s="4"/>
      <c r="AB285" s="4"/>
      <c r="AC285" s="3"/>
      <c r="AK285" s="4"/>
      <c r="AL285" s="3"/>
      <c r="AS285" s="4"/>
      <c r="AT285" s="4"/>
      <c r="AU285" s="3"/>
      <c r="BB285" s="4"/>
      <c r="BC285" s="3"/>
      <c r="BJ285" s="4"/>
      <c r="BK285" s="3"/>
      <c r="BR285" s="4"/>
      <c r="BS285" s="3"/>
      <c r="BZ285" s="4"/>
    </row>
    <row r="286" ht="14.25" customHeight="1">
      <c r="T286" s="3"/>
      <c r="AA286" s="4"/>
      <c r="AB286" s="4"/>
      <c r="AC286" s="3"/>
      <c r="AK286" s="4"/>
      <c r="AL286" s="3"/>
      <c r="AS286" s="4"/>
      <c r="AT286" s="4"/>
      <c r="AU286" s="3"/>
      <c r="BB286" s="4"/>
      <c r="BC286" s="3"/>
      <c r="BJ286" s="4"/>
      <c r="BK286" s="3"/>
      <c r="BR286" s="4"/>
      <c r="BS286" s="3"/>
      <c r="BZ286" s="4"/>
    </row>
    <row r="287" ht="14.25" customHeight="1">
      <c r="T287" s="3"/>
      <c r="AA287" s="4"/>
      <c r="AB287" s="4"/>
      <c r="AC287" s="3"/>
      <c r="AK287" s="4"/>
      <c r="AL287" s="3"/>
      <c r="AS287" s="4"/>
      <c r="AT287" s="4"/>
      <c r="AU287" s="3"/>
      <c r="BB287" s="4"/>
      <c r="BC287" s="3"/>
      <c r="BJ287" s="4"/>
      <c r="BK287" s="3"/>
      <c r="BR287" s="4"/>
      <c r="BS287" s="3"/>
      <c r="BZ287" s="4"/>
    </row>
    <row r="288" ht="14.25" customHeight="1">
      <c r="T288" s="3"/>
      <c r="AA288" s="4"/>
      <c r="AB288" s="4"/>
      <c r="AC288" s="3"/>
      <c r="AK288" s="4"/>
      <c r="AL288" s="3"/>
      <c r="AS288" s="4"/>
      <c r="AT288" s="4"/>
      <c r="AU288" s="3"/>
      <c r="BB288" s="4"/>
      <c r="BC288" s="3"/>
      <c r="BJ288" s="4"/>
      <c r="BK288" s="3"/>
      <c r="BR288" s="4"/>
      <c r="BS288" s="3"/>
      <c r="BZ288" s="4"/>
    </row>
    <row r="289" ht="14.25" customHeight="1">
      <c r="T289" s="3"/>
      <c r="AA289" s="4"/>
      <c r="AB289" s="4"/>
      <c r="AC289" s="3"/>
      <c r="AK289" s="4"/>
      <c r="AL289" s="3"/>
      <c r="AS289" s="4"/>
      <c r="AT289" s="4"/>
      <c r="AU289" s="3"/>
      <c r="BB289" s="4"/>
      <c r="BC289" s="3"/>
      <c r="BJ289" s="4"/>
      <c r="BK289" s="3"/>
      <c r="BR289" s="4"/>
      <c r="BS289" s="3"/>
      <c r="BZ289" s="4"/>
    </row>
    <row r="290" ht="14.25" customHeight="1">
      <c r="T290" s="3"/>
      <c r="AA290" s="4"/>
      <c r="AB290" s="4"/>
      <c r="AC290" s="3"/>
      <c r="AK290" s="4"/>
      <c r="AL290" s="3"/>
      <c r="AS290" s="4"/>
      <c r="AT290" s="4"/>
      <c r="AU290" s="3"/>
      <c r="BB290" s="4"/>
      <c r="BC290" s="3"/>
      <c r="BJ290" s="4"/>
      <c r="BK290" s="3"/>
      <c r="BR290" s="4"/>
      <c r="BS290" s="3"/>
      <c r="BZ290" s="4"/>
    </row>
    <row r="291" ht="14.25" customHeight="1">
      <c r="T291" s="3"/>
      <c r="AA291" s="4"/>
      <c r="AB291" s="4"/>
      <c r="AC291" s="3"/>
      <c r="AK291" s="4"/>
      <c r="AL291" s="3"/>
      <c r="AS291" s="4"/>
      <c r="AT291" s="4"/>
      <c r="AU291" s="3"/>
      <c r="BB291" s="4"/>
      <c r="BC291" s="3"/>
      <c r="BJ291" s="4"/>
      <c r="BK291" s="3"/>
      <c r="BR291" s="4"/>
      <c r="BS291" s="3"/>
      <c r="BZ291" s="4"/>
    </row>
    <row r="292" ht="14.25" customHeight="1">
      <c r="T292" s="3"/>
      <c r="AA292" s="4"/>
      <c r="AB292" s="4"/>
      <c r="AC292" s="3"/>
      <c r="AK292" s="4"/>
      <c r="AL292" s="3"/>
      <c r="AS292" s="4"/>
      <c r="AT292" s="4"/>
      <c r="AU292" s="3"/>
      <c r="BB292" s="4"/>
      <c r="BC292" s="3"/>
      <c r="BJ292" s="4"/>
      <c r="BK292" s="3"/>
      <c r="BR292" s="4"/>
      <c r="BS292" s="3"/>
      <c r="BZ292" s="4"/>
    </row>
    <row r="293" ht="14.25" customHeight="1">
      <c r="T293" s="3"/>
      <c r="AA293" s="4"/>
      <c r="AB293" s="4"/>
      <c r="AC293" s="3"/>
      <c r="AK293" s="4"/>
      <c r="AL293" s="3"/>
      <c r="AS293" s="4"/>
      <c r="AT293" s="4"/>
      <c r="AU293" s="3"/>
      <c r="BB293" s="4"/>
      <c r="BC293" s="3"/>
      <c r="BJ293" s="4"/>
      <c r="BK293" s="3"/>
      <c r="BR293" s="4"/>
      <c r="BS293" s="3"/>
      <c r="BZ293" s="4"/>
    </row>
    <row r="294" ht="14.25" customHeight="1">
      <c r="T294" s="3"/>
      <c r="AA294" s="4"/>
      <c r="AB294" s="4"/>
      <c r="AC294" s="3"/>
      <c r="AK294" s="4"/>
      <c r="AL294" s="3"/>
      <c r="AS294" s="4"/>
      <c r="AT294" s="4"/>
      <c r="AU294" s="3"/>
      <c r="BB294" s="4"/>
      <c r="BC294" s="3"/>
      <c r="BJ294" s="4"/>
      <c r="BK294" s="3"/>
      <c r="BR294" s="4"/>
      <c r="BS294" s="3"/>
      <c r="BZ294" s="4"/>
    </row>
    <row r="295" ht="14.25" customHeight="1">
      <c r="T295" s="3"/>
      <c r="AA295" s="4"/>
      <c r="AB295" s="4"/>
      <c r="AC295" s="3"/>
      <c r="AK295" s="4"/>
      <c r="AL295" s="3"/>
      <c r="AS295" s="4"/>
      <c r="AT295" s="4"/>
      <c r="AU295" s="3"/>
      <c r="BB295" s="4"/>
      <c r="BC295" s="3"/>
      <c r="BJ295" s="4"/>
      <c r="BK295" s="3"/>
      <c r="BR295" s="4"/>
      <c r="BS295" s="3"/>
      <c r="BZ295" s="4"/>
    </row>
    <row r="296" ht="14.25" customHeight="1">
      <c r="T296" s="3"/>
      <c r="AA296" s="4"/>
      <c r="AB296" s="4"/>
      <c r="AC296" s="3"/>
      <c r="AK296" s="4"/>
      <c r="AL296" s="3"/>
      <c r="AS296" s="4"/>
      <c r="AT296" s="4"/>
      <c r="AU296" s="3"/>
      <c r="BB296" s="4"/>
      <c r="BC296" s="3"/>
      <c r="BJ296" s="4"/>
      <c r="BK296" s="3"/>
      <c r="BR296" s="4"/>
      <c r="BS296" s="3"/>
      <c r="BZ296" s="4"/>
    </row>
    <row r="297" ht="14.25" customHeight="1">
      <c r="T297" s="3"/>
      <c r="AA297" s="4"/>
      <c r="AB297" s="4"/>
      <c r="AC297" s="3"/>
      <c r="AK297" s="4"/>
      <c r="AL297" s="3"/>
      <c r="AS297" s="4"/>
      <c r="AT297" s="4"/>
      <c r="AU297" s="3"/>
      <c r="BB297" s="4"/>
      <c r="BC297" s="3"/>
      <c r="BJ297" s="4"/>
      <c r="BK297" s="3"/>
      <c r="BR297" s="4"/>
      <c r="BS297" s="3"/>
      <c r="BZ297" s="4"/>
    </row>
    <row r="298" ht="14.25" customHeight="1">
      <c r="T298" s="3"/>
      <c r="AA298" s="4"/>
      <c r="AB298" s="4"/>
      <c r="AC298" s="3"/>
      <c r="AK298" s="4"/>
      <c r="AL298" s="3"/>
      <c r="AS298" s="4"/>
      <c r="AT298" s="4"/>
      <c r="AU298" s="3"/>
      <c r="BB298" s="4"/>
      <c r="BC298" s="3"/>
      <c r="BJ298" s="4"/>
      <c r="BK298" s="3"/>
      <c r="BR298" s="4"/>
      <c r="BS298" s="3"/>
      <c r="BZ298" s="4"/>
    </row>
    <row r="299" ht="14.25" customHeight="1">
      <c r="T299" s="3"/>
      <c r="AA299" s="4"/>
      <c r="AB299" s="4"/>
      <c r="AC299" s="3"/>
      <c r="AK299" s="4"/>
      <c r="AL299" s="3"/>
      <c r="AS299" s="4"/>
      <c r="AT299" s="4"/>
      <c r="AU299" s="3"/>
      <c r="BB299" s="4"/>
      <c r="BC299" s="3"/>
      <c r="BJ299" s="4"/>
      <c r="BK299" s="3"/>
      <c r="BR299" s="4"/>
      <c r="BS299" s="3"/>
      <c r="BZ299" s="4"/>
    </row>
    <row r="300" ht="14.25" customHeight="1">
      <c r="T300" s="3"/>
      <c r="AA300" s="4"/>
      <c r="AB300" s="4"/>
      <c r="AC300" s="3"/>
      <c r="AK300" s="4"/>
      <c r="AL300" s="3"/>
      <c r="AS300" s="4"/>
      <c r="AT300" s="4"/>
      <c r="AU300" s="3"/>
      <c r="BB300" s="4"/>
      <c r="BC300" s="3"/>
      <c r="BJ300" s="4"/>
      <c r="BK300" s="3"/>
      <c r="BR300" s="4"/>
      <c r="BS300" s="3"/>
      <c r="BZ300" s="4"/>
    </row>
    <row r="301" ht="14.25" customHeight="1">
      <c r="T301" s="3"/>
      <c r="AA301" s="4"/>
      <c r="AB301" s="4"/>
      <c r="AC301" s="3"/>
      <c r="AK301" s="4"/>
      <c r="AL301" s="3"/>
      <c r="AS301" s="4"/>
      <c r="AT301" s="4"/>
      <c r="AU301" s="3"/>
      <c r="BB301" s="4"/>
      <c r="BC301" s="3"/>
      <c r="BJ301" s="4"/>
      <c r="BK301" s="3"/>
      <c r="BR301" s="4"/>
      <c r="BS301" s="3"/>
      <c r="BZ301" s="4"/>
    </row>
    <row r="302" ht="14.25" customHeight="1">
      <c r="T302" s="3"/>
      <c r="AA302" s="4"/>
      <c r="AB302" s="4"/>
      <c r="AC302" s="3"/>
      <c r="AK302" s="4"/>
      <c r="AL302" s="3"/>
      <c r="AS302" s="4"/>
      <c r="AT302" s="4"/>
      <c r="AU302" s="3"/>
      <c r="BB302" s="4"/>
      <c r="BC302" s="3"/>
      <c r="BJ302" s="4"/>
      <c r="BK302" s="3"/>
      <c r="BR302" s="4"/>
      <c r="BS302" s="3"/>
      <c r="BZ302" s="4"/>
    </row>
    <row r="303" ht="14.25" customHeight="1">
      <c r="T303" s="3"/>
      <c r="AA303" s="4"/>
      <c r="AB303" s="4"/>
      <c r="AC303" s="3"/>
      <c r="AK303" s="4"/>
      <c r="AL303" s="3"/>
      <c r="AS303" s="4"/>
      <c r="AT303" s="4"/>
      <c r="AU303" s="3"/>
      <c r="BB303" s="4"/>
      <c r="BC303" s="3"/>
      <c r="BJ303" s="4"/>
      <c r="BK303" s="3"/>
      <c r="BR303" s="4"/>
      <c r="BS303" s="3"/>
      <c r="BZ303" s="4"/>
    </row>
    <row r="304" ht="14.25" customHeight="1">
      <c r="T304" s="3"/>
      <c r="AA304" s="4"/>
      <c r="AB304" s="4"/>
      <c r="AC304" s="3"/>
      <c r="AK304" s="4"/>
      <c r="AL304" s="3"/>
      <c r="AS304" s="4"/>
      <c r="AT304" s="4"/>
      <c r="AU304" s="3"/>
      <c r="BB304" s="4"/>
      <c r="BC304" s="3"/>
      <c r="BJ304" s="4"/>
      <c r="BK304" s="3"/>
      <c r="BR304" s="4"/>
      <c r="BS304" s="3"/>
      <c r="BZ304" s="4"/>
    </row>
    <row r="305" ht="14.25" customHeight="1">
      <c r="T305" s="3"/>
      <c r="AA305" s="4"/>
      <c r="AB305" s="4"/>
      <c r="AC305" s="3"/>
      <c r="AK305" s="4"/>
      <c r="AL305" s="3"/>
      <c r="AS305" s="4"/>
      <c r="AT305" s="4"/>
      <c r="AU305" s="3"/>
      <c r="BB305" s="4"/>
      <c r="BC305" s="3"/>
      <c r="BJ305" s="4"/>
      <c r="BK305" s="3"/>
      <c r="BR305" s="4"/>
      <c r="BS305" s="3"/>
      <c r="BZ305" s="4"/>
    </row>
    <row r="306" ht="14.25" customHeight="1">
      <c r="T306" s="3"/>
      <c r="AA306" s="4"/>
      <c r="AB306" s="4"/>
      <c r="AC306" s="3"/>
      <c r="AK306" s="4"/>
      <c r="AL306" s="3"/>
      <c r="AS306" s="4"/>
      <c r="AT306" s="4"/>
      <c r="AU306" s="3"/>
      <c r="BB306" s="4"/>
      <c r="BC306" s="3"/>
      <c r="BJ306" s="4"/>
      <c r="BK306" s="3"/>
      <c r="BR306" s="4"/>
      <c r="BS306" s="3"/>
      <c r="BZ306" s="4"/>
    </row>
    <row r="307" ht="14.25" customHeight="1">
      <c r="T307" s="3"/>
      <c r="AA307" s="4"/>
      <c r="AB307" s="4"/>
      <c r="AC307" s="3"/>
      <c r="AK307" s="4"/>
      <c r="AL307" s="3"/>
      <c r="AS307" s="4"/>
      <c r="AT307" s="4"/>
      <c r="AU307" s="3"/>
      <c r="BB307" s="4"/>
      <c r="BC307" s="3"/>
      <c r="BJ307" s="4"/>
      <c r="BK307" s="3"/>
      <c r="BR307" s="4"/>
      <c r="BS307" s="3"/>
      <c r="BZ307" s="4"/>
    </row>
    <row r="308" ht="14.25" customHeight="1">
      <c r="T308" s="3"/>
      <c r="AA308" s="4"/>
      <c r="AB308" s="4"/>
      <c r="AC308" s="3"/>
      <c r="AK308" s="4"/>
      <c r="AL308" s="3"/>
      <c r="AS308" s="4"/>
      <c r="AT308" s="4"/>
      <c r="AU308" s="3"/>
      <c r="BB308" s="4"/>
      <c r="BC308" s="3"/>
      <c r="BJ308" s="4"/>
      <c r="BK308" s="3"/>
      <c r="BR308" s="4"/>
      <c r="BS308" s="3"/>
      <c r="BZ308" s="4"/>
    </row>
    <row r="309" ht="14.25" customHeight="1">
      <c r="T309" s="3"/>
      <c r="AA309" s="4"/>
      <c r="AB309" s="4"/>
      <c r="AC309" s="3"/>
      <c r="AK309" s="4"/>
      <c r="AL309" s="3"/>
      <c r="AS309" s="4"/>
      <c r="AT309" s="4"/>
      <c r="AU309" s="3"/>
      <c r="BB309" s="4"/>
      <c r="BC309" s="3"/>
      <c r="BJ309" s="4"/>
      <c r="BK309" s="3"/>
      <c r="BR309" s="4"/>
      <c r="BS309" s="3"/>
      <c r="BZ309" s="4"/>
    </row>
    <row r="310" ht="14.25" customHeight="1">
      <c r="T310" s="3"/>
      <c r="AA310" s="4"/>
      <c r="AB310" s="4"/>
      <c r="AC310" s="3"/>
      <c r="AK310" s="4"/>
      <c r="AL310" s="3"/>
      <c r="AS310" s="4"/>
      <c r="AT310" s="4"/>
      <c r="AU310" s="3"/>
      <c r="BB310" s="4"/>
      <c r="BC310" s="3"/>
      <c r="BJ310" s="4"/>
      <c r="BK310" s="3"/>
      <c r="BR310" s="4"/>
      <c r="BS310" s="3"/>
      <c r="BZ310" s="4"/>
    </row>
    <row r="311" ht="14.25" customHeight="1">
      <c r="T311" s="3"/>
      <c r="AA311" s="4"/>
      <c r="AB311" s="4"/>
      <c r="AC311" s="3"/>
      <c r="AK311" s="4"/>
      <c r="AL311" s="3"/>
      <c r="AS311" s="4"/>
      <c r="AT311" s="4"/>
      <c r="AU311" s="3"/>
      <c r="BB311" s="4"/>
      <c r="BC311" s="3"/>
      <c r="BJ311" s="4"/>
      <c r="BK311" s="3"/>
      <c r="BR311" s="4"/>
      <c r="BS311" s="3"/>
      <c r="BZ311" s="4"/>
    </row>
    <row r="312" ht="14.25" customHeight="1">
      <c r="T312" s="3"/>
      <c r="AA312" s="4"/>
      <c r="AB312" s="4"/>
      <c r="AC312" s="3"/>
      <c r="AK312" s="4"/>
      <c r="AL312" s="3"/>
      <c r="AS312" s="4"/>
      <c r="AT312" s="4"/>
      <c r="AU312" s="3"/>
      <c r="BB312" s="4"/>
      <c r="BC312" s="3"/>
      <c r="BJ312" s="4"/>
      <c r="BK312" s="3"/>
      <c r="BR312" s="4"/>
      <c r="BS312" s="3"/>
      <c r="BZ312" s="4"/>
    </row>
    <row r="313" ht="14.25" customHeight="1">
      <c r="T313" s="3"/>
      <c r="AA313" s="4"/>
      <c r="AB313" s="4"/>
      <c r="AC313" s="3"/>
      <c r="AK313" s="4"/>
      <c r="AL313" s="3"/>
      <c r="AS313" s="4"/>
      <c r="AT313" s="4"/>
      <c r="AU313" s="3"/>
      <c r="BB313" s="4"/>
      <c r="BC313" s="3"/>
      <c r="BJ313" s="4"/>
      <c r="BK313" s="3"/>
      <c r="BR313" s="4"/>
      <c r="BS313" s="3"/>
      <c r="BZ313" s="4"/>
    </row>
    <row r="314" ht="14.25" customHeight="1">
      <c r="T314" s="3"/>
      <c r="AA314" s="4"/>
      <c r="AB314" s="4"/>
      <c r="AC314" s="3"/>
      <c r="AK314" s="4"/>
      <c r="AL314" s="3"/>
      <c r="AS314" s="4"/>
      <c r="AT314" s="4"/>
      <c r="AU314" s="3"/>
      <c r="BB314" s="4"/>
      <c r="BC314" s="3"/>
      <c r="BJ314" s="4"/>
      <c r="BK314" s="3"/>
      <c r="BR314" s="4"/>
      <c r="BS314" s="3"/>
      <c r="BZ314" s="4"/>
    </row>
    <row r="315" ht="14.25" customHeight="1">
      <c r="T315" s="3"/>
      <c r="AA315" s="4"/>
      <c r="AB315" s="4"/>
      <c r="AC315" s="3"/>
      <c r="AK315" s="4"/>
      <c r="AL315" s="3"/>
      <c r="AS315" s="4"/>
      <c r="AT315" s="4"/>
      <c r="AU315" s="3"/>
      <c r="BB315" s="4"/>
      <c r="BC315" s="3"/>
      <c r="BJ315" s="4"/>
      <c r="BK315" s="3"/>
      <c r="BR315" s="4"/>
      <c r="BS315" s="3"/>
      <c r="BZ315" s="4"/>
    </row>
    <row r="316" ht="14.25" customHeight="1">
      <c r="T316" s="3"/>
      <c r="AA316" s="4"/>
      <c r="AB316" s="4"/>
      <c r="AC316" s="3"/>
      <c r="AK316" s="4"/>
      <c r="AL316" s="3"/>
      <c r="AS316" s="4"/>
      <c r="AT316" s="4"/>
      <c r="AU316" s="3"/>
      <c r="BB316" s="4"/>
      <c r="BC316" s="3"/>
      <c r="BJ316" s="4"/>
      <c r="BK316" s="3"/>
      <c r="BR316" s="4"/>
      <c r="BS316" s="3"/>
      <c r="BZ316" s="4"/>
    </row>
    <row r="317" ht="14.25" customHeight="1">
      <c r="T317" s="3"/>
      <c r="AA317" s="4"/>
      <c r="AB317" s="4"/>
      <c r="AC317" s="3"/>
      <c r="AK317" s="4"/>
      <c r="AL317" s="3"/>
      <c r="AS317" s="4"/>
      <c r="AT317" s="4"/>
      <c r="AU317" s="3"/>
      <c r="BB317" s="4"/>
      <c r="BC317" s="3"/>
      <c r="BJ317" s="4"/>
      <c r="BK317" s="3"/>
      <c r="BR317" s="4"/>
      <c r="BS317" s="3"/>
      <c r="BZ317" s="4"/>
    </row>
    <row r="318" ht="14.25" customHeight="1">
      <c r="T318" s="3"/>
      <c r="AA318" s="4"/>
      <c r="AB318" s="4"/>
      <c r="AC318" s="3"/>
      <c r="AK318" s="4"/>
      <c r="AL318" s="3"/>
      <c r="AS318" s="4"/>
      <c r="AT318" s="4"/>
      <c r="AU318" s="3"/>
      <c r="BB318" s="4"/>
      <c r="BC318" s="3"/>
      <c r="BJ318" s="4"/>
      <c r="BK318" s="3"/>
      <c r="BR318" s="4"/>
      <c r="BS318" s="3"/>
      <c r="BZ318" s="4"/>
    </row>
    <row r="319" ht="14.25" customHeight="1">
      <c r="T319" s="3"/>
      <c r="AA319" s="4"/>
      <c r="AB319" s="4"/>
      <c r="AC319" s="3"/>
      <c r="AK319" s="4"/>
      <c r="AL319" s="3"/>
      <c r="AS319" s="4"/>
      <c r="AT319" s="4"/>
      <c r="AU319" s="3"/>
      <c r="BB319" s="4"/>
      <c r="BC319" s="3"/>
      <c r="BJ319" s="4"/>
      <c r="BK319" s="3"/>
      <c r="BR319" s="4"/>
      <c r="BS319" s="3"/>
      <c r="BZ319" s="4"/>
    </row>
    <row r="320" ht="14.25" customHeight="1">
      <c r="T320" s="3"/>
      <c r="AA320" s="4"/>
      <c r="AB320" s="4"/>
      <c r="AC320" s="3"/>
      <c r="AK320" s="4"/>
      <c r="AL320" s="3"/>
      <c r="AS320" s="4"/>
      <c r="AT320" s="4"/>
      <c r="AU320" s="3"/>
      <c r="BB320" s="4"/>
      <c r="BC320" s="3"/>
      <c r="BJ320" s="4"/>
      <c r="BK320" s="3"/>
      <c r="BR320" s="4"/>
      <c r="BS320" s="3"/>
      <c r="BZ320" s="4"/>
    </row>
    <row r="321" ht="14.25" customHeight="1">
      <c r="T321" s="3"/>
      <c r="AA321" s="4"/>
      <c r="AB321" s="4"/>
      <c r="AC321" s="3"/>
      <c r="AK321" s="4"/>
      <c r="AL321" s="3"/>
      <c r="AS321" s="4"/>
      <c r="AT321" s="4"/>
      <c r="AU321" s="3"/>
      <c r="BB321" s="4"/>
      <c r="BC321" s="3"/>
      <c r="BJ321" s="4"/>
      <c r="BK321" s="3"/>
      <c r="BR321" s="4"/>
      <c r="BS321" s="3"/>
      <c r="BZ321" s="4"/>
    </row>
    <row r="322" ht="14.25" customHeight="1">
      <c r="T322" s="3"/>
      <c r="AA322" s="4"/>
      <c r="AB322" s="4"/>
      <c r="AC322" s="3"/>
      <c r="AK322" s="4"/>
      <c r="AL322" s="3"/>
      <c r="AS322" s="4"/>
      <c r="AT322" s="4"/>
      <c r="AU322" s="3"/>
      <c r="BB322" s="4"/>
      <c r="BC322" s="3"/>
      <c r="BJ322" s="4"/>
      <c r="BK322" s="3"/>
      <c r="BR322" s="4"/>
      <c r="BS322" s="3"/>
      <c r="BZ322" s="4"/>
    </row>
    <row r="323" ht="14.25" customHeight="1">
      <c r="T323" s="3"/>
      <c r="AA323" s="4"/>
      <c r="AB323" s="4"/>
      <c r="AC323" s="3"/>
      <c r="AK323" s="4"/>
      <c r="AL323" s="3"/>
      <c r="AS323" s="4"/>
      <c r="AT323" s="4"/>
      <c r="AU323" s="3"/>
      <c r="BB323" s="4"/>
      <c r="BC323" s="3"/>
      <c r="BJ323" s="4"/>
      <c r="BK323" s="3"/>
      <c r="BR323" s="4"/>
      <c r="BS323" s="3"/>
      <c r="BZ323" s="4"/>
    </row>
    <row r="324" ht="14.25" customHeight="1">
      <c r="T324" s="3"/>
      <c r="AA324" s="4"/>
      <c r="AB324" s="4"/>
      <c r="AC324" s="3"/>
      <c r="AK324" s="4"/>
      <c r="AL324" s="3"/>
      <c r="AS324" s="4"/>
      <c r="AT324" s="4"/>
      <c r="AU324" s="3"/>
      <c r="BB324" s="4"/>
      <c r="BC324" s="3"/>
      <c r="BJ324" s="4"/>
      <c r="BK324" s="3"/>
      <c r="BR324" s="4"/>
      <c r="BS324" s="3"/>
      <c r="BZ324" s="4"/>
    </row>
    <row r="325" ht="14.25" customHeight="1">
      <c r="T325" s="3"/>
      <c r="AA325" s="4"/>
      <c r="AB325" s="4"/>
      <c r="AC325" s="3"/>
      <c r="AK325" s="4"/>
      <c r="AL325" s="3"/>
      <c r="AS325" s="4"/>
      <c r="AT325" s="4"/>
      <c r="AU325" s="3"/>
      <c r="BB325" s="4"/>
      <c r="BC325" s="3"/>
      <c r="BJ325" s="4"/>
      <c r="BK325" s="3"/>
      <c r="BR325" s="4"/>
      <c r="BS325" s="3"/>
      <c r="BZ325" s="4"/>
    </row>
    <row r="326" ht="14.25" customHeight="1">
      <c r="T326" s="3"/>
      <c r="AA326" s="4"/>
      <c r="AB326" s="4"/>
      <c r="AC326" s="3"/>
      <c r="AK326" s="4"/>
      <c r="AL326" s="3"/>
      <c r="AS326" s="4"/>
      <c r="AT326" s="4"/>
      <c r="AU326" s="3"/>
      <c r="BB326" s="4"/>
      <c r="BC326" s="3"/>
      <c r="BJ326" s="4"/>
      <c r="BK326" s="3"/>
      <c r="BR326" s="4"/>
      <c r="BS326" s="3"/>
      <c r="BZ326" s="4"/>
    </row>
    <row r="327" ht="14.25" customHeight="1">
      <c r="T327" s="3"/>
      <c r="AA327" s="4"/>
      <c r="AB327" s="4"/>
      <c r="AC327" s="3"/>
      <c r="AK327" s="4"/>
      <c r="AL327" s="3"/>
      <c r="AS327" s="4"/>
      <c r="AT327" s="4"/>
      <c r="AU327" s="3"/>
      <c r="BB327" s="4"/>
      <c r="BC327" s="3"/>
      <c r="BJ327" s="4"/>
      <c r="BK327" s="3"/>
      <c r="BR327" s="4"/>
      <c r="BS327" s="3"/>
      <c r="BZ327" s="4"/>
    </row>
    <row r="328" ht="14.25" customHeight="1">
      <c r="T328" s="3"/>
      <c r="AA328" s="4"/>
      <c r="AB328" s="4"/>
      <c r="AC328" s="3"/>
      <c r="AK328" s="4"/>
      <c r="AL328" s="3"/>
      <c r="AS328" s="4"/>
      <c r="AT328" s="4"/>
      <c r="AU328" s="3"/>
      <c r="BB328" s="4"/>
      <c r="BC328" s="3"/>
      <c r="BJ328" s="4"/>
      <c r="BK328" s="3"/>
      <c r="BR328" s="4"/>
      <c r="BS328" s="3"/>
      <c r="BZ328" s="4"/>
    </row>
    <row r="329" ht="14.25" customHeight="1">
      <c r="T329" s="3"/>
      <c r="AA329" s="4"/>
      <c r="AB329" s="4"/>
      <c r="AC329" s="3"/>
      <c r="AK329" s="4"/>
      <c r="AL329" s="3"/>
      <c r="AS329" s="4"/>
      <c r="AT329" s="4"/>
      <c r="AU329" s="3"/>
      <c r="BB329" s="4"/>
      <c r="BC329" s="3"/>
      <c r="BJ329" s="4"/>
      <c r="BK329" s="3"/>
      <c r="BR329" s="4"/>
      <c r="BS329" s="3"/>
      <c r="BZ329" s="4"/>
    </row>
    <row r="330" ht="14.25" customHeight="1">
      <c r="T330" s="3"/>
      <c r="AA330" s="4"/>
      <c r="AB330" s="4"/>
      <c r="AC330" s="3"/>
      <c r="AK330" s="4"/>
      <c r="AL330" s="3"/>
      <c r="AS330" s="4"/>
      <c r="AT330" s="4"/>
      <c r="AU330" s="3"/>
      <c r="BB330" s="4"/>
      <c r="BC330" s="3"/>
      <c r="BJ330" s="4"/>
      <c r="BK330" s="3"/>
      <c r="BR330" s="4"/>
      <c r="BS330" s="3"/>
      <c r="BZ330" s="4"/>
    </row>
    <row r="331" ht="14.25" customHeight="1">
      <c r="T331" s="3"/>
      <c r="AA331" s="4"/>
      <c r="AB331" s="4"/>
      <c r="AC331" s="3"/>
      <c r="AK331" s="4"/>
      <c r="AL331" s="3"/>
      <c r="AS331" s="4"/>
      <c r="AT331" s="4"/>
      <c r="AU331" s="3"/>
      <c r="BB331" s="4"/>
      <c r="BC331" s="3"/>
      <c r="BJ331" s="4"/>
      <c r="BK331" s="3"/>
      <c r="BR331" s="4"/>
      <c r="BS331" s="3"/>
      <c r="BZ331" s="4"/>
    </row>
    <row r="332" ht="14.25" customHeight="1">
      <c r="T332" s="3"/>
      <c r="AA332" s="4"/>
      <c r="AB332" s="4"/>
      <c r="AC332" s="3"/>
      <c r="AK332" s="4"/>
      <c r="AL332" s="3"/>
      <c r="AS332" s="4"/>
      <c r="AT332" s="4"/>
      <c r="AU332" s="3"/>
      <c r="BB332" s="4"/>
      <c r="BC332" s="3"/>
      <c r="BJ332" s="4"/>
      <c r="BK332" s="3"/>
      <c r="BR332" s="4"/>
      <c r="BS332" s="3"/>
      <c r="BZ332" s="4"/>
    </row>
    <row r="333" ht="14.25" customHeight="1">
      <c r="T333" s="3"/>
      <c r="AA333" s="4"/>
      <c r="AB333" s="4"/>
      <c r="AC333" s="3"/>
      <c r="AK333" s="4"/>
      <c r="AL333" s="3"/>
      <c r="AS333" s="4"/>
      <c r="AT333" s="4"/>
      <c r="AU333" s="3"/>
      <c r="BB333" s="4"/>
      <c r="BC333" s="3"/>
      <c r="BJ333" s="4"/>
      <c r="BK333" s="3"/>
      <c r="BR333" s="4"/>
      <c r="BS333" s="3"/>
      <c r="BZ333" s="4"/>
    </row>
    <row r="334" ht="14.25" customHeight="1">
      <c r="T334" s="3"/>
      <c r="AA334" s="4"/>
      <c r="AB334" s="4"/>
      <c r="AC334" s="3"/>
      <c r="AK334" s="4"/>
      <c r="AL334" s="3"/>
      <c r="AS334" s="4"/>
      <c r="AT334" s="4"/>
      <c r="AU334" s="3"/>
      <c r="BB334" s="4"/>
      <c r="BC334" s="3"/>
      <c r="BJ334" s="4"/>
      <c r="BK334" s="3"/>
      <c r="BR334" s="4"/>
      <c r="BS334" s="3"/>
      <c r="BZ334" s="4"/>
    </row>
    <row r="335" ht="14.25" customHeight="1">
      <c r="T335" s="3"/>
      <c r="AA335" s="4"/>
      <c r="AB335" s="4"/>
      <c r="AC335" s="3"/>
      <c r="AK335" s="4"/>
      <c r="AL335" s="3"/>
      <c r="AS335" s="4"/>
      <c r="AT335" s="4"/>
      <c r="AU335" s="3"/>
      <c r="BB335" s="4"/>
      <c r="BC335" s="3"/>
      <c r="BJ335" s="4"/>
      <c r="BK335" s="3"/>
      <c r="BR335" s="4"/>
      <c r="BS335" s="3"/>
      <c r="BZ335" s="4"/>
    </row>
    <row r="336" ht="14.25" customHeight="1">
      <c r="T336" s="3"/>
      <c r="AA336" s="4"/>
      <c r="AB336" s="4"/>
      <c r="AC336" s="3"/>
      <c r="AK336" s="4"/>
      <c r="AL336" s="3"/>
      <c r="AS336" s="4"/>
      <c r="AT336" s="4"/>
      <c r="AU336" s="3"/>
      <c r="BB336" s="4"/>
      <c r="BC336" s="3"/>
      <c r="BJ336" s="4"/>
      <c r="BK336" s="3"/>
      <c r="BR336" s="4"/>
      <c r="BS336" s="3"/>
      <c r="BZ336" s="4"/>
    </row>
    <row r="337" ht="14.25" customHeight="1">
      <c r="T337" s="3"/>
      <c r="AA337" s="4"/>
      <c r="AB337" s="4"/>
      <c r="AC337" s="3"/>
      <c r="AK337" s="4"/>
      <c r="AL337" s="3"/>
      <c r="AS337" s="4"/>
      <c r="AT337" s="4"/>
      <c r="AU337" s="3"/>
      <c r="BB337" s="4"/>
      <c r="BC337" s="3"/>
      <c r="BJ337" s="4"/>
      <c r="BK337" s="3"/>
      <c r="BR337" s="4"/>
      <c r="BS337" s="3"/>
      <c r="BZ337" s="4"/>
    </row>
    <row r="338" ht="14.25" customHeight="1">
      <c r="T338" s="3"/>
      <c r="AA338" s="4"/>
      <c r="AB338" s="4"/>
      <c r="AC338" s="3"/>
      <c r="AK338" s="4"/>
      <c r="AL338" s="3"/>
      <c r="AS338" s="4"/>
      <c r="AT338" s="4"/>
      <c r="AU338" s="3"/>
      <c r="BB338" s="4"/>
      <c r="BC338" s="3"/>
      <c r="BJ338" s="4"/>
      <c r="BK338" s="3"/>
      <c r="BR338" s="4"/>
      <c r="BS338" s="3"/>
      <c r="BZ338" s="4"/>
    </row>
    <row r="339" ht="14.25" customHeight="1">
      <c r="T339" s="3"/>
      <c r="AA339" s="4"/>
      <c r="AB339" s="4"/>
      <c r="AC339" s="3"/>
      <c r="AK339" s="4"/>
      <c r="AL339" s="3"/>
      <c r="AS339" s="4"/>
      <c r="AT339" s="4"/>
      <c r="AU339" s="3"/>
      <c r="BB339" s="4"/>
      <c r="BC339" s="3"/>
      <c r="BJ339" s="4"/>
      <c r="BK339" s="3"/>
      <c r="BR339" s="4"/>
      <c r="BS339" s="3"/>
      <c r="BZ339" s="4"/>
    </row>
    <row r="340" ht="14.25" customHeight="1">
      <c r="T340" s="3"/>
      <c r="AA340" s="4"/>
      <c r="AB340" s="4"/>
      <c r="AC340" s="3"/>
      <c r="AK340" s="4"/>
      <c r="AL340" s="3"/>
      <c r="AS340" s="4"/>
      <c r="AT340" s="4"/>
      <c r="AU340" s="3"/>
      <c r="BB340" s="4"/>
      <c r="BC340" s="3"/>
      <c r="BJ340" s="4"/>
      <c r="BK340" s="3"/>
      <c r="BR340" s="4"/>
      <c r="BS340" s="3"/>
      <c r="BZ340" s="4"/>
    </row>
    <row r="341" ht="14.25" customHeight="1">
      <c r="T341" s="3"/>
      <c r="AA341" s="4"/>
      <c r="AB341" s="4"/>
      <c r="AC341" s="3"/>
      <c r="AK341" s="4"/>
      <c r="AL341" s="3"/>
      <c r="AS341" s="4"/>
      <c r="AT341" s="4"/>
      <c r="AU341" s="3"/>
      <c r="BB341" s="4"/>
      <c r="BC341" s="3"/>
      <c r="BJ341" s="4"/>
      <c r="BK341" s="3"/>
      <c r="BR341" s="4"/>
      <c r="BS341" s="3"/>
      <c r="BZ341" s="4"/>
    </row>
    <row r="342" ht="14.25" customHeight="1">
      <c r="T342" s="3"/>
      <c r="AA342" s="4"/>
      <c r="AB342" s="4"/>
      <c r="AC342" s="3"/>
      <c r="AK342" s="4"/>
      <c r="AL342" s="3"/>
      <c r="AS342" s="4"/>
      <c r="AT342" s="4"/>
      <c r="AU342" s="3"/>
      <c r="BB342" s="4"/>
      <c r="BC342" s="3"/>
      <c r="BJ342" s="4"/>
      <c r="BK342" s="3"/>
      <c r="BR342" s="4"/>
      <c r="BS342" s="3"/>
      <c r="BZ342" s="4"/>
    </row>
    <row r="343" ht="14.25" customHeight="1">
      <c r="T343" s="3"/>
      <c r="AA343" s="4"/>
      <c r="AB343" s="4"/>
      <c r="AC343" s="3"/>
      <c r="AK343" s="4"/>
      <c r="AL343" s="3"/>
      <c r="AS343" s="4"/>
      <c r="AT343" s="4"/>
      <c r="AU343" s="3"/>
      <c r="BB343" s="4"/>
      <c r="BC343" s="3"/>
      <c r="BJ343" s="4"/>
      <c r="BK343" s="3"/>
      <c r="BR343" s="4"/>
      <c r="BS343" s="3"/>
      <c r="BZ343" s="4"/>
    </row>
    <row r="344" ht="14.25" customHeight="1">
      <c r="T344" s="3"/>
      <c r="AA344" s="4"/>
      <c r="AB344" s="4"/>
      <c r="AC344" s="3"/>
      <c r="AK344" s="4"/>
      <c r="AL344" s="3"/>
      <c r="AS344" s="4"/>
      <c r="AT344" s="4"/>
      <c r="AU344" s="3"/>
      <c r="BB344" s="4"/>
      <c r="BC344" s="3"/>
      <c r="BJ344" s="4"/>
      <c r="BK344" s="3"/>
      <c r="BR344" s="4"/>
      <c r="BS344" s="3"/>
      <c r="BZ344" s="4"/>
    </row>
    <row r="345" ht="14.25" customHeight="1">
      <c r="T345" s="3"/>
      <c r="AA345" s="4"/>
      <c r="AB345" s="4"/>
      <c r="AC345" s="3"/>
      <c r="AK345" s="4"/>
      <c r="AL345" s="3"/>
      <c r="AS345" s="4"/>
      <c r="AT345" s="4"/>
      <c r="AU345" s="3"/>
      <c r="BB345" s="4"/>
      <c r="BC345" s="3"/>
      <c r="BJ345" s="4"/>
      <c r="BK345" s="3"/>
      <c r="BR345" s="4"/>
      <c r="BS345" s="3"/>
      <c r="BZ345" s="4"/>
    </row>
    <row r="346" ht="14.25" customHeight="1">
      <c r="T346" s="3"/>
      <c r="AA346" s="4"/>
      <c r="AB346" s="4"/>
      <c r="AC346" s="3"/>
      <c r="AK346" s="4"/>
      <c r="AL346" s="3"/>
      <c r="AS346" s="4"/>
      <c r="AT346" s="4"/>
      <c r="AU346" s="3"/>
      <c r="BB346" s="4"/>
      <c r="BC346" s="3"/>
      <c r="BJ346" s="4"/>
      <c r="BK346" s="3"/>
      <c r="BR346" s="4"/>
      <c r="BS346" s="3"/>
      <c r="BZ346" s="4"/>
    </row>
    <row r="347" ht="14.25" customHeight="1">
      <c r="T347" s="3"/>
      <c r="AA347" s="4"/>
      <c r="AB347" s="4"/>
      <c r="AC347" s="3"/>
      <c r="AK347" s="4"/>
      <c r="AL347" s="3"/>
      <c r="AS347" s="4"/>
      <c r="AT347" s="4"/>
      <c r="AU347" s="3"/>
      <c r="BB347" s="4"/>
      <c r="BC347" s="3"/>
      <c r="BJ347" s="4"/>
      <c r="BK347" s="3"/>
      <c r="BR347" s="4"/>
      <c r="BS347" s="3"/>
      <c r="BZ347" s="4"/>
    </row>
    <row r="348" ht="14.25" customHeight="1">
      <c r="T348" s="3"/>
      <c r="AA348" s="4"/>
      <c r="AB348" s="4"/>
      <c r="AC348" s="3"/>
      <c r="AK348" s="4"/>
      <c r="AL348" s="3"/>
      <c r="AS348" s="4"/>
      <c r="AT348" s="4"/>
      <c r="AU348" s="3"/>
      <c r="BB348" s="4"/>
      <c r="BC348" s="3"/>
      <c r="BJ348" s="4"/>
      <c r="BK348" s="3"/>
      <c r="BR348" s="4"/>
      <c r="BS348" s="3"/>
      <c r="BZ348" s="4"/>
    </row>
    <row r="349" ht="14.25" customHeight="1">
      <c r="T349" s="3"/>
      <c r="AA349" s="4"/>
      <c r="AB349" s="4"/>
      <c r="AC349" s="3"/>
      <c r="AK349" s="4"/>
      <c r="AL349" s="3"/>
      <c r="AS349" s="4"/>
      <c r="AT349" s="4"/>
      <c r="AU349" s="3"/>
      <c r="BB349" s="4"/>
      <c r="BC349" s="3"/>
      <c r="BJ349" s="4"/>
      <c r="BK349" s="3"/>
      <c r="BR349" s="4"/>
      <c r="BS349" s="3"/>
      <c r="BZ349" s="4"/>
    </row>
    <row r="350" ht="14.25" customHeight="1">
      <c r="T350" s="3"/>
      <c r="AA350" s="4"/>
      <c r="AB350" s="4"/>
      <c r="AC350" s="3"/>
      <c r="AK350" s="4"/>
      <c r="AL350" s="3"/>
      <c r="AS350" s="4"/>
      <c r="AT350" s="4"/>
      <c r="AU350" s="3"/>
      <c r="BB350" s="4"/>
      <c r="BC350" s="3"/>
      <c r="BJ350" s="4"/>
      <c r="BK350" s="3"/>
      <c r="BR350" s="4"/>
      <c r="BS350" s="3"/>
      <c r="BZ350" s="4"/>
    </row>
    <row r="351" ht="14.25" customHeight="1">
      <c r="T351" s="3"/>
      <c r="AA351" s="4"/>
      <c r="AB351" s="4"/>
      <c r="AC351" s="3"/>
      <c r="AK351" s="4"/>
      <c r="AL351" s="3"/>
      <c r="AS351" s="4"/>
      <c r="AT351" s="4"/>
      <c r="AU351" s="3"/>
      <c r="BB351" s="4"/>
      <c r="BC351" s="3"/>
      <c r="BJ351" s="4"/>
      <c r="BK351" s="3"/>
      <c r="BR351" s="4"/>
      <c r="BS351" s="3"/>
      <c r="BZ351" s="4"/>
    </row>
    <row r="352" ht="14.25" customHeight="1">
      <c r="T352" s="3"/>
      <c r="AA352" s="4"/>
      <c r="AB352" s="4"/>
      <c r="AC352" s="3"/>
      <c r="AK352" s="4"/>
      <c r="AL352" s="3"/>
      <c r="AS352" s="4"/>
      <c r="AT352" s="4"/>
      <c r="AU352" s="3"/>
      <c r="BB352" s="4"/>
      <c r="BC352" s="3"/>
      <c r="BJ352" s="4"/>
      <c r="BK352" s="3"/>
      <c r="BR352" s="4"/>
      <c r="BS352" s="3"/>
      <c r="BZ352" s="4"/>
    </row>
    <row r="353" ht="14.25" customHeight="1">
      <c r="T353" s="3"/>
      <c r="AA353" s="4"/>
      <c r="AB353" s="4"/>
      <c r="AC353" s="3"/>
      <c r="AK353" s="4"/>
      <c r="AL353" s="3"/>
      <c r="AS353" s="4"/>
      <c r="AT353" s="4"/>
      <c r="AU353" s="3"/>
      <c r="BB353" s="4"/>
      <c r="BC353" s="3"/>
      <c r="BJ353" s="4"/>
      <c r="BK353" s="3"/>
      <c r="BR353" s="4"/>
      <c r="BS353" s="3"/>
      <c r="BZ353" s="4"/>
    </row>
    <row r="354" ht="14.25" customHeight="1">
      <c r="T354" s="3"/>
      <c r="AA354" s="4"/>
      <c r="AB354" s="4"/>
      <c r="AC354" s="3"/>
      <c r="AK354" s="4"/>
      <c r="AL354" s="3"/>
      <c r="AS354" s="4"/>
      <c r="AT354" s="4"/>
      <c r="AU354" s="3"/>
      <c r="BB354" s="4"/>
      <c r="BC354" s="3"/>
      <c r="BJ354" s="4"/>
      <c r="BK354" s="3"/>
      <c r="BR354" s="4"/>
      <c r="BS354" s="3"/>
      <c r="BZ354" s="4"/>
    </row>
    <row r="355" ht="14.25" customHeight="1">
      <c r="T355" s="3"/>
      <c r="AA355" s="4"/>
      <c r="AB355" s="4"/>
      <c r="AC355" s="3"/>
      <c r="AK355" s="4"/>
      <c r="AL355" s="3"/>
      <c r="AS355" s="4"/>
      <c r="AT355" s="4"/>
      <c r="AU355" s="3"/>
      <c r="BB355" s="4"/>
      <c r="BC355" s="3"/>
      <c r="BJ355" s="4"/>
      <c r="BK355" s="3"/>
      <c r="BR355" s="4"/>
      <c r="BS355" s="3"/>
      <c r="BZ355" s="4"/>
    </row>
    <row r="356" ht="14.25" customHeight="1">
      <c r="T356" s="3"/>
      <c r="AA356" s="4"/>
      <c r="AB356" s="4"/>
      <c r="AC356" s="3"/>
      <c r="AK356" s="4"/>
      <c r="AL356" s="3"/>
      <c r="AS356" s="4"/>
      <c r="AT356" s="4"/>
      <c r="AU356" s="3"/>
      <c r="BB356" s="4"/>
      <c r="BC356" s="3"/>
      <c r="BJ356" s="4"/>
      <c r="BK356" s="3"/>
      <c r="BR356" s="4"/>
      <c r="BS356" s="3"/>
      <c r="BZ356" s="4"/>
    </row>
    <row r="357" ht="14.25" customHeight="1">
      <c r="T357" s="3"/>
      <c r="AA357" s="4"/>
      <c r="AB357" s="4"/>
      <c r="AC357" s="3"/>
      <c r="AK357" s="4"/>
      <c r="AL357" s="3"/>
      <c r="AS357" s="4"/>
      <c r="AT357" s="4"/>
      <c r="AU357" s="3"/>
      <c r="BB357" s="4"/>
      <c r="BC357" s="3"/>
      <c r="BJ357" s="4"/>
      <c r="BK357" s="3"/>
      <c r="BR357" s="4"/>
      <c r="BS357" s="3"/>
      <c r="BZ357" s="4"/>
    </row>
    <row r="358" ht="14.25" customHeight="1">
      <c r="T358" s="3"/>
      <c r="AA358" s="4"/>
      <c r="AB358" s="4"/>
      <c r="AC358" s="3"/>
      <c r="AK358" s="4"/>
      <c r="AL358" s="3"/>
      <c r="AS358" s="4"/>
      <c r="AT358" s="4"/>
      <c r="AU358" s="3"/>
      <c r="BB358" s="4"/>
      <c r="BC358" s="3"/>
      <c r="BJ358" s="4"/>
      <c r="BK358" s="3"/>
      <c r="BR358" s="4"/>
      <c r="BS358" s="3"/>
      <c r="BZ358" s="4"/>
    </row>
    <row r="359" ht="14.25" customHeight="1">
      <c r="T359" s="3"/>
      <c r="AA359" s="4"/>
      <c r="AB359" s="4"/>
      <c r="AC359" s="3"/>
      <c r="AK359" s="4"/>
      <c r="AL359" s="3"/>
      <c r="AS359" s="4"/>
      <c r="AT359" s="4"/>
      <c r="AU359" s="3"/>
      <c r="BB359" s="4"/>
      <c r="BC359" s="3"/>
      <c r="BJ359" s="4"/>
      <c r="BK359" s="3"/>
      <c r="BR359" s="4"/>
      <c r="BS359" s="3"/>
      <c r="BZ359" s="4"/>
    </row>
    <row r="360" ht="14.25" customHeight="1">
      <c r="T360" s="3"/>
      <c r="AA360" s="4"/>
      <c r="AB360" s="4"/>
      <c r="AC360" s="3"/>
      <c r="AK360" s="4"/>
      <c r="AL360" s="3"/>
      <c r="AS360" s="4"/>
      <c r="AT360" s="4"/>
      <c r="AU360" s="3"/>
      <c r="BB360" s="4"/>
      <c r="BC360" s="3"/>
      <c r="BJ360" s="4"/>
      <c r="BK360" s="3"/>
      <c r="BR360" s="4"/>
      <c r="BS360" s="3"/>
      <c r="BZ360" s="4"/>
    </row>
    <row r="361" ht="14.25" customHeight="1">
      <c r="T361" s="3"/>
      <c r="AA361" s="4"/>
      <c r="AB361" s="4"/>
      <c r="AC361" s="3"/>
      <c r="AK361" s="4"/>
      <c r="AL361" s="3"/>
      <c r="AS361" s="4"/>
      <c r="AT361" s="4"/>
      <c r="AU361" s="3"/>
      <c r="BB361" s="4"/>
      <c r="BC361" s="3"/>
      <c r="BJ361" s="4"/>
      <c r="BK361" s="3"/>
      <c r="BR361" s="4"/>
      <c r="BS361" s="3"/>
      <c r="BZ361" s="4"/>
    </row>
    <row r="362" ht="14.25" customHeight="1">
      <c r="T362" s="3"/>
      <c r="AA362" s="4"/>
      <c r="AB362" s="4"/>
      <c r="AC362" s="3"/>
      <c r="AK362" s="4"/>
      <c r="AL362" s="3"/>
      <c r="AS362" s="4"/>
      <c r="AT362" s="4"/>
      <c r="AU362" s="3"/>
      <c r="BB362" s="4"/>
      <c r="BC362" s="3"/>
      <c r="BJ362" s="4"/>
      <c r="BK362" s="3"/>
      <c r="BR362" s="4"/>
      <c r="BS362" s="3"/>
      <c r="BZ362" s="4"/>
    </row>
    <row r="363" ht="14.25" customHeight="1">
      <c r="T363" s="3"/>
      <c r="AA363" s="4"/>
      <c r="AB363" s="4"/>
      <c r="AC363" s="3"/>
      <c r="AK363" s="4"/>
      <c r="AL363" s="3"/>
      <c r="AS363" s="4"/>
      <c r="AT363" s="4"/>
      <c r="AU363" s="3"/>
      <c r="BB363" s="4"/>
      <c r="BC363" s="3"/>
      <c r="BJ363" s="4"/>
      <c r="BK363" s="3"/>
      <c r="BR363" s="4"/>
      <c r="BS363" s="3"/>
      <c r="BZ363" s="4"/>
    </row>
    <row r="364" ht="14.25" customHeight="1">
      <c r="T364" s="3"/>
      <c r="AA364" s="4"/>
      <c r="AB364" s="4"/>
      <c r="AC364" s="3"/>
      <c r="AK364" s="4"/>
      <c r="AL364" s="3"/>
      <c r="AS364" s="4"/>
      <c r="AT364" s="4"/>
      <c r="AU364" s="3"/>
      <c r="BB364" s="4"/>
      <c r="BC364" s="3"/>
      <c r="BJ364" s="4"/>
      <c r="BK364" s="3"/>
      <c r="BR364" s="4"/>
      <c r="BS364" s="3"/>
      <c r="BZ364" s="4"/>
    </row>
    <row r="365" ht="14.25" customHeight="1">
      <c r="T365" s="3"/>
      <c r="AA365" s="4"/>
      <c r="AB365" s="4"/>
      <c r="AC365" s="3"/>
      <c r="AK365" s="4"/>
      <c r="AL365" s="3"/>
      <c r="AS365" s="4"/>
      <c r="AT365" s="4"/>
      <c r="AU365" s="3"/>
      <c r="BB365" s="4"/>
      <c r="BC365" s="3"/>
      <c r="BJ365" s="4"/>
      <c r="BK365" s="3"/>
      <c r="BR365" s="4"/>
      <c r="BS365" s="3"/>
      <c r="BZ365" s="4"/>
    </row>
    <row r="366" ht="14.25" customHeight="1">
      <c r="T366" s="3"/>
      <c r="AA366" s="4"/>
      <c r="AB366" s="4"/>
      <c r="AC366" s="3"/>
      <c r="AK366" s="4"/>
      <c r="AL366" s="3"/>
      <c r="AS366" s="4"/>
      <c r="AT366" s="4"/>
      <c r="AU366" s="3"/>
      <c r="BB366" s="4"/>
      <c r="BC366" s="3"/>
      <c r="BJ366" s="4"/>
      <c r="BK366" s="3"/>
      <c r="BR366" s="4"/>
      <c r="BS366" s="3"/>
      <c r="BZ366" s="4"/>
    </row>
    <row r="367" ht="14.25" customHeight="1">
      <c r="T367" s="3"/>
      <c r="AA367" s="4"/>
      <c r="AB367" s="4"/>
      <c r="AC367" s="3"/>
      <c r="AK367" s="4"/>
      <c r="AL367" s="3"/>
      <c r="AS367" s="4"/>
      <c r="AT367" s="4"/>
      <c r="AU367" s="3"/>
      <c r="BB367" s="4"/>
      <c r="BC367" s="3"/>
      <c r="BJ367" s="4"/>
      <c r="BK367" s="3"/>
      <c r="BR367" s="4"/>
      <c r="BS367" s="3"/>
      <c r="BZ367" s="4"/>
    </row>
    <row r="368" ht="14.25" customHeight="1">
      <c r="T368" s="3"/>
      <c r="AA368" s="4"/>
      <c r="AB368" s="4"/>
      <c r="AC368" s="3"/>
      <c r="AK368" s="4"/>
      <c r="AL368" s="3"/>
      <c r="AS368" s="4"/>
      <c r="AT368" s="4"/>
      <c r="AU368" s="3"/>
      <c r="BB368" s="4"/>
      <c r="BC368" s="3"/>
      <c r="BJ368" s="4"/>
      <c r="BK368" s="3"/>
      <c r="BR368" s="4"/>
      <c r="BS368" s="3"/>
      <c r="BZ368" s="4"/>
    </row>
    <row r="369" ht="14.25" customHeight="1">
      <c r="T369" s="3"/>
      <c r="AA369" s="4"/>
      <c r="AB369" s="4"/>
      <c r="AC369" s="3"/>
      <c r="AK369" s="4"/>
      <c r="AL369" s="3"/>
      <c r="AS369" s="4"/>
      <c r="AT369" s="4"/>
      <c r="AU369" s="3"/>
      <c r="BB369" s="4"/>
      <c r="BC369" s="3"/>
      <c r="BJ369" s="4"/>
      <c r="BK369" s="3"/>
      <c r="BR369" s="4"/>
      <c r="BS369" s="3"/>
      <c r="BZ369" s="4"/>
    </row>
    <row r="370" ht="14.25" customHeight="1">
      <c r="T370" s="3"/>
      <c r="AA370" s="4"/>
      <c r="AB370" s="4"/>
      <c r="AC370" s="3"/>
      <c r="AK370" s="4"/>
      <c r="AL370" s="3"/>
      <c r="AS370" s="4"/>
      <c r="AT370" s="4"/>
      <c r="AU370" s="3"/>
      <c r="BB370" s="4"/>
      <c r="BC370" s="3"/>
      <c r="BJ370" s="4"/>
      <c r="BK370" s="3"/>
      <c r="BR370" s="4"/>
      <c r="BS370" s="3"/>
      <c r="BZ370" s="4"/>
    </row>
    <row r="371" ht="14.25" customHeight="1">
      <c r="T371" s="3"/>
      <c r="AA371" s="4"/>
      <c r="AB371" s="4"/>
      <c r="AC371" s="3"/>
      <c r="AK371" s="4"/>
      <c r="AL371" s="3"/>
      <c r="AS371" s="4"/>
      <c r="AT371" s="4"/>
      <c r="AU371" s="3"/>
      <c r="BB371" s="4"/>
      <c r="BC371" s="3"/>
      <c r="BJ371" s="4"/>
      <c r="BK371" s="3"/>
      <c r="BR371" s="4"/>
      <c r="BS371" s="3"/>
      <c r="BZ371" s="4"/>
    </row>
    <row r="372" ht="14.25" customHeight="1">
      <c r="T372" s="3"/>
      <c r="AA372" s="4"/>
      <c r="AB372" s="4"/>
      <c r="AC372" s="3"/>
      <c r="AK372" s="4"/>
      <c r="AL372" s="3"/>
      <c r="AS372" s="4"/>
      <c r="AT372" s="4"/>
      <c r="AU372" s="3"/>
      <c r="BB372" s="4"/>
      <c r="BC372" s="3"/>
      <c r="BJ372" s="4"/>
      <c r="BK372" s="3"/>
      <c r="BR372" s="4"/>
      <c r="BS372" s="3"/>
      <c r="BZ372" s="4"/>
    </row>
    <row r="373" ht="14.25" customHeight="1">
      <c r="T373" s="3"/>
      <c r="AA373" s="4"/>
      <c r="AB373" s="4"/>
      <c r="AC373" s="3"/>
      <c r="AK373" s="4"/>
      <c r="AL373" s="3"/>
      <c r="AS373" s="4"/>
      <c r="AT373" s="4"/>
      <c r="AU373" s="3"/>
      <c r="BB373" s="4"/>
      <c r="BC373" s="3"/>
      <c r="BJ373" s="4"/>
      <c r="BK373" s="3"/>
      <c r="BR373" s="4"/>
      <c r="BS373" s="3"/>
      <c r="BZ373" s="4"/>
    </row>
    <row r="374" ht="14.25" customHeight="1">
      <c r="T374" s="3"/>
      <c r="AA374" s="4"/>
      <c r="AB374" s="4"/>
      <c r="AC374" s="3"/>
      <c r="AK374" s="4"/>
      <c r="AL374" s="3"/>
      <c r="AS374" s="4"/>
      <c r="AT374" s="4"/>
      <c r="AU374" s="3"/>
      <c r="BB374" s="4"/>
      <c r="BC374" s="3"/>
      <c r="BJ374" s="4"/>
      <c r="BK374" s="3"/>
      <c r="BR374" s="4"/>
      <c r="BS374" s="3"/>
      <c r="BZ374" s="4"/>
    </row>
    <row r="375" ht="14.25" customHeight="1">
      <c r="T375" s="3"/>
      <c r="AA375" s="4"/>
      <c r="AB375" s="4"/>
      <c r="AC375" s="3"/>
      <c r="AK375" s="4"/>
      <c r="AL375" s="3"/>
      <c r="AS375" s="4"/>
      <c r="AT375" s="4"/>
      <c r="AU375" s="3"/>
      <c r="BB375" s="4"/>
      <c r="BC375" s="3"/>
      <c r="BJ375" s="4"/>
      <c r="BK375" s="3"/>
      <c r="BR375" s="4"/>
      <c r="BS375" s="3"/>
      <c r="BZ375" s="4"/>
    </row>
    <row r="376" ht="14.25" customHeight="1">
      <c r="T376" s="3"/>
      <c r="AA376" s="4"/>
      <c r="AB376" s="4"/>
      <c r="AC376" s="3"/>
      <c r="AK376" s="4"/>
      <c r="AL376" s="3"/>
      <c r="AS376" s="4"/>
      <c r="AT376" s="4"/>
      <c r="AU376" s="3"/>
      <c r="BB376" s="4"/>
      <c r="BC376" s="3"/>
      <c r="BJ376" s="4"/>
      <c r="BK376" s="3"/>
      <c r="BR376" s="4"/>
      <c r="BS376" s="3"/>
      <c r="BZ376" s="4"/>
    </row>
    <row r="377" ht="14.25" customHeight="1">
      <c r="T377" s="3"/>
      <c r="AA377" s="4"/>
      <c r="AB377" s="4"/>
      <c r="AC377" s="3"/>
      <c r="AK377" s="4"/>
      <c r="AL377" s="3"/>
      <c r="AS377" s="4"/>
      <c r="AT377" s="4"/>
      <c r="AU377" s="3"/>
      <c r="BB377" s="4"/>
      <c r="BC377" s="3"/>
      <c r="BJ377" s="4"/>
      <c r="BK377" s="3"/>
      <c r="BR377" s="4"/>
      <c r="BS377" s="3"/>
      <c r="BZ377" s="4"/>
    </row>
    <row r="378" ht="14.25" customHeight="1">
      <c r="T378" s="3"/>
      <c r="AA378" s="4"/>
      <c r="AB378" s="4"/>
      <c r="AC378" s="3"/>
      <c r="AK378" s="4"/>
      <c r="AL378" s="3"/>
      <c r="AS378" s="4"/>
      <c r="AT378" s="4"/>
      <c r="AU378" s="3"/>
      <c r="BB378" s="4"/>
      <c r="BC378" s="3"/>
      <c r="BJ378" s="4"/>
      <c r="BK378" s="3"/>
      <c r="BR378" s="4"/>
      <c r="BS378" s="3"/>
      <c r="BZ378" s="4"/>
    </row>
    <row r="379" ht="14.25" customHeight="1">
      <c r="T379" s="3"/>
      <c r="AA379" s="4"/>
      <c r="AB379" s="4"/>
      <c r="AC379" s="3"/>
      <c r="AK379" s="4"/>
      <c r="AL379" s="3"/>
      <c r="AS379" s="4"/>
      <c r="AT379" s="4"/>
      <c r="AU379" s="3"/>
      <c r="BB379" s="4"/>
      <c r="BC379" s="3"/>
      <c r="BJ379" s="4"/>
      <c r="BK379" s="3"/>
      <c r="BR379" s="4"/>
      <c r="BS379" s="3"/>
      <c r="BZ379" s="4"/>
    </row>
    <row r="380" ht="14.25" customHeight="1">
      <c r="T380" s="3"/>
      <c r="AA380" s="4"/>
      <c r="AB380" s="4"/>
      <c r="AC380" s="3"/>
      <c r="AK380" s="4"/>
      <c r="AL380" s="3"/>
      <c r="AS380" s="4"/>
      <c r="AT380" s="4"/>
      <c r="AU380" s="3"/>
      <c r="BB380" s="4"/>
      <c r="BC380" s="3"/>
      <c r="BJ380" s="4"/>
      <c r="BK380" s="3"/>
      <c r="BR380" s="4"/>
      <c r="BS380" s="3"/>
      <c r="BZ380" s="4"/>
    </row>
    <row r="381" ht="14.25" customHeight="1">
      <c r="T381" s="3"/>
      <c r="AA381" s="4"/>
      <c r="AB381" s="4"/>
      <c r="AC381" s="3"/>
      <c r="AK381" s="4"/>
      <c r="AL381" s="3"/>
      <c r="AS381" s="4"/>
      <c r="AT381" s="4"/>
      <c r="AU381" s="3"/>
      <c r="BB381" s="4"/>
      <c r="BC381" s="3"/>
      <c r="BJ381" s="4"/>
      <c r="BK381" s="3"/>
      <c r="BR381" s="4"/>
      <c r="BS381" s="3"/>
      <c r="BZ381" s="4"/>
    </row>
    <row r="382" ht="14.25" customHeight="1">
      <c r="T382" s="3"/>
      <c r="AA382" s="4"/>
      <c r="AB382" s="4"/>
      <c r="AC382" s="3"/>
      <c r="AK382" s="4"/>
      <c r="AL382" s="3"/>
      <c r="AS382" s="4"/>
      <c r="AT382" s="4"/>
      <c r="AU382" s="3"/>
      <c r="BB382" s="4"/>
      <c r="BC382" s="3"/>
      <c r="BJ382" s="4"/>
      <c r="BK382" s="3"/>
      <c r="BR382" s="4"/>
      <c r="BS382" s="3"/>
      <c r="BZ382" s="4"/>
    </row>
    <row r="383" ht="14.25" customHeight="1">
      <c r="T383" s="3"/>
      <c r="AA383" s="4"/>
      <c r="AB383" s="4"/>
      <c r="AC383" s="3"/>
      <c r="AK383" s="4"/>
      <c r="AL383" s="3"/>
      <c r="AS383" s="4"/>
      <c r="AT383" s="4"/>
      <c r="AU383" s="3"/>
      <c r="BB383" s="4"/>
      <c r="BC383" s="3"/>
      <c r="BJ383" s="4"/>
      <c r="BK383" s="3"/>
      <c r="BR383" s="4"/>
      <c r="BS383" s="3"/>
      <c r="BZ383" s="4"/>
    </row>
    <row r="384" ht="14.25" customHeight="1">
      <c r="T384" s="3"/>
      <c r="AA384" s="4"/>
      <c r="AB384" s="4"/>
      <c r="AC384" s="3"/>
      <c r="AK384" s="4"/>
      <c r="AL384" s="3"/>
      <c r="AS384" s="4"/>
      <c r="AT384" s="4"/>
      <c r="AU384" s="3"/>
      <c r="BB384" s="4"/>
      <c r="BC384" s="3"/>
      <c r="BJ384" s="4"/>
      <c r="BK384" s="3"/>
      <c r="BR384" s="4"/>
      <c r="BS384" s="3"/>
      <c r="BZ384" s="4"/>
    </row>
    <row r="385" ht="14.25" customHeight="1">
      <c r="T385" s="3"/>
      <c r="AA385" s="4"/>
      <c r="AB385" s="4"/>
      <c r="AC385" s="3"/>
      <c r="AK385" s="4"/>
      <c r="AL385" s="3"/>
      <c r="AS385" s="4"/>
      <c r="AT385" s="4"/>
      <c r="AU385" s="3"/>
      <c r="BB385" s="4"/>
      <c r="BC385" s="3"/>
      <c r="BJ385" s="4"/>
      <c r="BK385" s="3"/>
      <c r="BR385" s="4"/>
      <c r="BS385" s="3"/>
      <c r="BZ385" s="4"/>
    </row>
    <row r="386" ht="14.25" customHeight="1">
      <c r="T386" s="3"/>
      <c r="AA386" s="4"/>
      <c r="AB386" s="4"/>
      <c r="AC386" s="3"/>
      <c r="AK386" s="4"/>
      <c r="AL386" s="3"/>
      <c r="AS386" s="4"/>
      <c r="AT386" s="4"/>
      <c r="AU386" s="3"/>
      <c r="BB386" s="4"/>
      <c r="BC386" s="3"/>
      <c r="BJ386" s="4"/>
      <c r="BK386" s="3"/>
      <c r="BR386" s="4"/>
      <c r="BS386" s="3"/>
      <c r="BZ386" s="4"/>
    </row>
    <row r="387" ht="14.25" customHeight="1">
      <c r="T387" s="3"/>
      <c r="AA387" s="4"/>
      <c r="AB387" s="4"/>
      <c r="AC387" s="3"/>
      <c r="AK387" s="4"/>
      <c r="AL387" s="3"/>
      <c r="AS387" s="4"/>
      <c r="AT387" s="4"/>
      <c r="AU387" s="3"/>
      <c r="BB387" s="4"/>
      <c r="BC387" s="3"/>
      <c r="BJ387" s="4"/>
      <c r="BK387" s="3"/>
      <c r="BR387" s="4"/>
      <c r="BS387" s="3"/>
      <c r="BZ387" s="4"/>
    </row>
    <row r="388" ht="14.25" customHeight="1">
      <c r="T388" s="3"/>
      <c r="AA388" s="4"/>
      <c r="AB388" s="4"/>
      <c r="AC388" s="3"/>
      <c r="AK388" s="4"/>
      <c r="AL388" s="3"/>
      <c r="AS388" s="4"/>
      <c r="AT388" s="4"/>
      <c r="AU388" s="3"/>
      <c r="BB388" s="4"/>
      <c r="BC388" s="3"/>
      <c r="BJ388" s="4"/>
      <c r="BK388" s="3"/>
      <c r="BR388" s="4"/>
      <c r="BS388" s="3"/>
      <c r="BZ388" s="4"/>
    </row>
    <row r="389" ht="14.25" customHeight="1">
      <c r="T389" s="3"/>
      <c r="AA389" s="4"/>
      <c r="AB389" s="4"/>
      <c r="AC389" s="3"/>
      <c r="AK389" s="4"/>
      <c r="AL389" s="3"/>
      <c r="AS389" s="4"/>
      <c r="AT389" s="4"/>
      <c r="AU389" s="3"/>
      <c r="BB389" s="4"/>
      <c r="BC389" s="3"/>
      <c r="BJ389" s="4"/>
      <c r="BK389" s="3"/>
      <c r="BR389" s="4"/>
      <c r="BS389" s="3"/>
      <c r="BZ389" s="4"/>
    </row>
    <row r="390" ht="14.25" customHeight="1">
      <c r="T390" s="3"/>
      <c r="AA390" s="4"/>
      <c r="AB390" s="4"/>
      <c r="AC390" s="3"/>
      <c r="AK390" s="4"/>
      <c r="AL390" s="3"/>
      <c r="AS390" s="4"/>
      <c r="AT390" s="4"/>
      <c r="AU390" s="3"/>
      <c r="BB390" s="4"/>
      <c r="BC390" s="3"/>
      <c r="BJ390" s="4"/>
      <c r="BK390" s="3"/>
      <c r="BR390" s="4"/>
      <c r="BS390" s="3"/>
      <c r="BZ390" s="4"/>
    </row>
    <row r="391" ht="14.25" customHeight="1">
      <c r="T391" s="3"/>
      <c r="AA391" s="4"/>
      <c r="AB391" s="4"/>
      <c r="AC391" s="3"/>
      <c r="AK391" s="4"/>
      <c r="AL391" s="3"/>
      <c r="AS391" s="4"/>
      <c r="AT391" s="4"/>
      <c r="AU391" s="3"/>
      <c r="BB391" s="4"/>
      <c r="BC391" s="3"/>
      <c r="BJ391" s="4"/>
      <c r="BK391" s="3"/>
      <c r="BR391" s="4"/>
      <c r="BS391" s="3"/>
      <c r="BZ391" s="4"/>
    </row>
    <row r="392" ht="14.25" customHeight="1">
      <c r="T392" s="3"/>
      <c r="AA392" s="4"/>
      <c r="AB392" s="4"/>
      <c r="AC392" s="3"/>
      <c r="AK392" s="4"/>
      <c r="AL392" s="3"/>
      <c r="AS392" s="4"/>
      <c r="AT392" s="4"/>
      <c r="AU392" s="3"/>
      <c r="BB392" s="4"/>
      <c r="BC392" s="3"/>
      <c r="BJ392" s="4"/>
      <c r="BK392" s="3"/>
      <c r="BR392" s="4"/>
      <c r="BS392" s="3"/>
      <c r="BZ392" s="4"/>
    </row>
    <row r="393" ht="14.25" customHeight="1">
      <c r="T393" s="3"/>
      <c r="AA393" s="4"/>
      <c r="AB393" s="4"/>
      <c r="AC393" s="3"/>
      <c r="AK393" s="4"/>
      <c r="AL393" s="3"/>
      <c r="AS393" s="4"/>
      <c r="AT393" s="4"/>
      <c r="AU393" s="3"/>
      <c r="BB393" s="4"/>
      <c r="BC393" s="3"/>
      <c r="BJ393" s="4"/>
      <c r="BK393" s="3"/>
      <c r="BR393" s="4"/>
      <c r="BS393" s="3"/>
      <c r="BZ393" s="4"/>
    </row>
    <row r="394" ht="14.25" customHeight="1">
      <c r="T394" s="3"/>
      <c r="AA394" s="4"/>
      <c r="AB394" s="4"/>
      <c r="AC394" s="3"/>
      <c r="AK394" s="4"/>
      <c r="AL394" s="3"/>
      <c r="AS394" s="4"/>
      <c r="AT394" s="4"/>
      <c r="AU394" s="3"/>
      <c r="BB394" s="4"/>
      <c r="BC394" s="3"/>
      <c r="BJ394" s="4"/>
      <c r="BK394" s="3"/>
      <c r="BR394" s="4"/>
      <c r="BS394" s="3"/>
      <c r="BZ394" s="4"/>
    </row>
    <row r="395" ht="14.25" customHeight="1">
      <c r="T395" s="3"/>
      <c r="AA395" s="4"/>
      <c r="AB395" s="4"/>
      <c r="AC395" s="3"/>
      <c r="AK395" s="4"/>
      <c r="AL395" s="3"/>
      <c r="AS395" s="4"/>
      <c r="AT395" s="4"/>
      <c r="AU395" s="3"/>
      <c r="BB395" s="4"/>
      <c r="BC395" s="3"/>
      <c r="BJ395" s="4"/>
      <c r="BK395" s="3"/>
      <c r="BR395" s="4"/>
      <c r="BS395" s="3"/>
      <c r="BZ395" s="4"/>
    </row>
    <row r="396" ht="14.25" customHeight="1">
      <c r="T396" s="3"/>
      <c r="AA396" s="4"/>
      <c r="AB396" s="4"/>
      <c r="AC396" s="3"/>
      <c r="AK396" s="4"/>
      <c r="AL396" s="3"/>
      <c r="AS396" s="4"/>
      <c r="AT396" s="4"/>
      <c r="AU396" s="3"/>
      <c r="BB396" s="4"/>
      <c r="BC396" s="3"/>
      <c r="BJ396" s="4"/>
      <c r="BK396" s="3"/>
      <c r="BR396" s="4"/>
      <c r="BS396" s="3"/>
      <c r="BZ396" s="4"/>
    </row>
    <row r="397" ht="14.25" customHeight="1">
      <c r="T397" s="3"/>
      <c r="AA397" s="4"/>
      <c r="AB397" s="4"/>
      <c r="AC397" s="3"/>
      <c r="AK397" s="4"/>
      <c r="AL397" s="3"/>
      <c r="AS397" s="4"/>
      <c r="AT397" s="4"/>
      <c r="AU397" s="3"/>
      <c r="BB397" s="4"/>
      <c r="BC397" s="3"/>
      <c r="BJ397" s="4"/>
      <c r="BK397" s="3"/>
      <c r="BR397" s="4"/>
      <c r="BS397" s="3"/>
      <c r="BZ397" s="4"/>
    </row>
    <row r="398" ht="14.25" customHeight="1">
      <c r="T398" s="3"/>
      <c r="AA398" s="4"/>
      <c r="AB398" s="4"/>
      <c r="AC398" s="3"/>
      <c r="AK398" s="4"/>
      <c r="AL398" s="3"/>
      <c r="AS398" s="4"/>
      <c r="AT398" s="4"/>
      <c r="AU398" s="3"/>
      <c r="BB398" s="4"/>
      <c r="BC398" s="3"/>
      <c r="BJ398" s="4"/>
      <c r="BK398" s="3"/>
      <c r="BR398" s="4"/>
      <c r="BS398" s="3"/>
      <c r="BZ398" s="4"/>
    </row>
    <row r="399" ht="14.25" customHeight="1">
      <c r="T399" s="3"/>
      <c r="AA399" s="4"/>
      <c r="AB399" s="4"/>
      <c r="AC399" s="3"/>
      <c r="AK399" s="4"/>
      <c r="AL399" s="3"/>
      <c r="AS399" s="4"/>
      <c r="AT399" s="4"/>
      <c r="AU399" s="3"/>
      <c r="BB399" s="4"/>
      <c r="BC399" s="3"/>
      <c r="BJ399" s="4"/>
      <c r="BK399" s="3"/>
      <c r="BR399" s="4"/>
      <c r="BS399" s="3"/>
      <c r="BZ399" s="4"/>
    </row>
    <row r="400" ht="14.25" customHeight="1">
      <c r="T400" s="3"/>
      <c r="AA400" s="4"/>
      <c r="AB400" s="4"/>
      <c r="AC400" s="3"/>
      <c r="AK400" s="4"/>
      <c r="AL400" s="3"/>
      <c r="AS400" s="4"/>
      <c r="AT400" s="4"/>
      <c r="AU400" s="3"/>
      <c r="BB400" s="4"/>
      <c r="BC400" s="3"/>
      <c r="BJ400" s="4"/>
      <c r="BK400" s="3"/>
      <c r="BR400" s="4"/>
      <c r="BS400" s="3"/>
      <c r="BZ400" s="4"/>
    </row>
    <row r="401" ht="14.25" customHeight="1">
      <c r="T401" s="3"/>
      <c r="AA401" s="4"/>
      <c r="AB401" s="4"/>
      <c r="AC401" s="3"/>
      <c r="AK401" s="4"/>
      <c r="AL401" s="3"/>
      <c r="AS401" s="4"/>
      <c r="AT401" s="4"/>
      <c r="AU401" s="3"/>
      <c r="BB401" s="4"/>
      <c r="BC401" s="3"/>
      <c r="BJ401" s="4"/>
      <c r="BK401" s="3"/>
      <c r="BR401" s="4"/>
      <c r="BS401" s="3"/>
      <c r="BZ401" s="4"/>
    </row>
    <row r="402" ht="14.25" customHeight="1">
      <c r="T402" s="3"/>
      <c r="AA402" s="4"/>
      <c r="AB402" s="4"/>
      <c r="AC402" s="3"/>
      <c r="AK402" s="4"/>
      <c r="AL402" s="3"/>
      <c r="AS402" s="4"/>
      <c r="AT402" s="4"/>
      <c r="AU402" s="3"/>
      <c r="BB402" s="4"/>
      <c r="BC402" s="3"/>
      <c r="BJ402" s="4"/>
      <c r="BK402" s="3"/>
      <c r="BR402" s="4"/>
      <c r="BS402" s="3"/>
      <c r="BZ402" s="4"/>
    </row>
    <row r="403" ht="14.25" customHeight="1">
      <c r="T403" s="3"/>
      <c r="AA403" s="4"/>
      <c r="AB403" s="4"/>
      <c r="AC403" s="3"/>
      <c r="AK403" s="4"/>
      <c r="AL403" s="3"/>
      <c r="AS403" s="4"/>
      <c r="AT403" s="4"/>
      <c r="AU403" s="3"/>
      <c r="BB403" s="4"/>
      <c r="BC403" s="3"/>
      <c r="BJ403" s="4"/>
      <c r="BK403" s="3"/>
      <c r="BR403" s="4"/>
      <c r="BS403" s="3"/>
      <c r="BZ403" s="4"/>
    </row>
    <row r="404" ht="14.25" customHeight="1">
      <c r="T404" s="3"/>
      <c r="AA404" s="4"/>
      <c r="AB404" s="4"/>
      <c r="AC404" s="3"/>
      <c r="AK404" s="4"/>
      <c r="AL404" s="3"/>
      <c r="AS404" s="4"/>
      <c r="AT404" s="4"/>
      <c r="AU404" s="3"/>
      <c r="BB404" s="4"/>
      <c r="BC404" s="3"/>
      <c r="BJ404" s="4"/>
      <c r="BK404" s="3"/>
      <c r="BR404" s="4"/>
      <c r="BS404" s="3"/>
      <c r="BZ404" s="4"/>
    </row>
    <row r="405" ht="14.25" customHeight="1">
      <c r="T405" s="3"/>
      <c r="AA405" s="4"/>
      <c r="AB405" s="4"/>
      <c r="AC405" s="3"/>
      <c r="AK405" s="4"/>
      <c r="AL405" s="3"/>
      <c r="AS405" s="4"/>
      <c r="AT405" s="4"/>
      <c r="AU405" s="3"/>
      <c r="BB405" s="4"/>
      <c r="BC405" s="3"/>
      <c r="BJ405" s="4"/>
      <c r="BK405" s="3"/>
      <c r="BR405" s="4"/>
      <c r="BS405" s="3"/>
      <c r="BZ405" s="4"/>
    </row>
    <row r="406" ht="14.25" customHeight="1">
      <c r="T406" s="3"/>
      <c r="AA406" s="4"/>
      <c r="AB406" s="4"/>
      <c r="AC406" s="3"/>
      <c r="AK406" s="4"/>
      <c r="AL406" s="3"/>
      <c r="AS406" s="4"/>
      <c r="AT406" s="4"/>
      <c r="AU406" s="3"/>
      <c r="BB406" s="4"/>
      <c r="BC406" s="3"/>
      <c r="BJ406" s="4"/>
      <c r="BK406" s="3"/>
      <c r="BR406" s="4"/>
      <c r="BS406" s="3"/>
      <c r="BZ406" s="4"/>
    </row>
    <row r="407" ht="14.25" customHeight="1">
      <c r="T407" s="3"/>
      <c r="AA407" s="4"/>
      <c r="AB407" s="4"/>
      <c r="AC407" s="3"/>
      <c r="AK407" s="4"/>
      <c r="AL407" s="3"/>
      <c r="AS407" s="4"/>
      <c r="AT407" s="4"/>
      <c r="AU407" s="3"/>
      <c r="BB407" s="4"/>
      <c r="BC407" s="3"/>
      <c r="BJ407" s="4"/>
      <c r="BK407" s="3"/>
      <c r="BR407" s="4"/>
      <c r="BS407" s="3"/>
      <c r="BZ407" s="4"/>
    </row>
    <row r="408" ht="14.25" customHeight="1">
      <c r="T408" s="3"/>
      <c r="AA408" s="4"/>
      <c r="AB408" s="4"/>
      <c r="AC408" s="3"/>
      <c r="AK408" s="4"/>
      <c r="AL408" s="3"/>
      <c r="AS408" s="4"/>
      <c r="AT408" s="4"/>
      <c r="AU408" s="3"/>
      <c r="BB408" s="4"/>
      <c r="BC408" s="3"/>
      <c r="BJ408" s="4"/>
      <c r="BK408" s="3"/>
      <c r="BR408" s="4"/>
      <c r="BS408" s="3"/>
      <c r="BZ408" s="4"/>
    </row>
    <row r="409" ht="14.25" customHeight="1">
      <c r="T409" s="3"/>
      <c r="AA409" s="4"/>
      <c r="AB409" s="4"/>
      <c r="AC409" s="3"/>
      <c r="AK409" s="4"/>
      <c r="AL409" s="3"/>
      <c r="AS409" s="4"/>
      <c r="AT409" s="4"/>
      <c r="AU409" s="3"/>
      <c r="BB409" s="4"/>
      <c r="BC409" s="3"/>
      <c r="BJ409" s="4"/>
      <c r="BK409" s="3"/>
      <c r="BR409" s="4"/>
      <c r="BS409" s="3"/>
      <c r="BZ409" s="4"/>
    </row>
    <row r="410" ht="14.25" customHeight="1">
      <c r="T410" s="3"/>
      <c r="AA410" s="4"/>
      <c r="AB410" s="4"/>
      <c r="AC410" s="3"/>
      <c r="AK410" s="4"/>
      <c r="AL410" s="3"/>
      <c r="AS410" s="4"/>
      <c r="AT410" s="4"/>
      <c r="AU410" s="3"/>
      <c r="BB410" s="4"/>
      <c r="BC410" s="3"/>
      <c r="BJ410" s="4"/>
      <c r="BK410" s="3"/>
      <c r="BR410" s="4"/>
      <c r="BS410" s="3"/>
      <c r="BZ410" s="4"/>
    </row>
    <row r="411" ht="14.25" customHeight="1">
      <c r="T411" s="3"/>
      <c r="AA411" s="4"/>
      <c r="AB411" s="4"/>
      <c r="AC411" s="3"/>
      <c r="AK411" s="4"/>
      <c r="AL411" s="3"/>
      <c r="AS411" s="4"/>
      <c r="AT411" s="4"/>
      <c r="AU411" s="3"/>
      <c r="BB411" s="4"/>
      <c r="BC411" s="3"/>
      <c r="BJ411" s="4"/>
      <c r="BK411" s="3"/>
      <c r="BR411" s="4"/>
      <c r="BS411" s="3"/>
      <c r="BZ411" s="4"/>
    </row>
    <row r="412" ht="14.25" customHeight="1">
      <c r="T412" s="3"/>
      <c r="AA412" s="4"/>
      <c r="AB412" s="4"/>
      <c r="AC412" s="3"/>
      <c r="AK412" s="4"/>
      <c r="AL412" s="3"/>
      <c r="AS412" s="4"/>
      <c r="AT412" s="4"/>
      <c r="AU412" s="3"/>
      <c r="BB412" s="4"/>
      <c r="BC412" s="3"/>
      <c r="BJ412" s="4"/>
      <c r="BK412" s="3"/>
      <c r="BR412" s="4"/>
      <c r="BS412" s="3"/>
      <c r="BZ412" s="4"/>
    </row>
    <row r="413" ht="14.25" customHeight="1">
      <c r="T413" s="3"/>
      <c r="AA413" s="4"/>
      <c r="AB413" s="4"/>
      <c r="AC413" s="3"/>
      <c r="AK413" s="4"/>
      <c r="AL413" s="3"/>
      <c r="AS413" s="4"/>
      <c r="AT413" s="4"/>
      <c r="AU413" s="3"/>
      <c r="BB413" s="4"/>
      <c r="BC413" s="3"/>
      <c r="BJ413" s="4"/>
      <c r="BK413" s="3"/>
      <c r="BR413" s="4"/>
      <c r="BS413" s="3"/>
      <c r="BZ413" s="4"/>
    </row>
    <row r="414" ht="14.25" customHeight="1">
      <c r="T414" s="3"/>
      <c r="AA414" s="4"/>
      <c r="AB414" s="4"/>
      <c r="AC414" s="3"/>
      <c r="AK414" s="4"/>
      <c r="AL414" s="3"/>
      <c r="AS414" s="4"/>
      <c r="AT414" s="4"/>
      <c r="AU414" s="3"/>
      <c r="BB414" s="4"/>
      <c r="BC414" s="3"/>
      <c r="BJ414" s="4"/>
      <c r="BK414" s="3"/>
      <c r="BR414" s="4"/>
      <c r="BS414" s="3"/>
      <c r="BZ414" s="4"/>
    </row>
    <row r="415" ht="14.25" customHeight="1">
      <c r="T415" s="3"/>
      <c r="AA415" s="4"/>
      <c r="AB415" s="4"/>
      <c r="AC415" s="3"/>
      <c r="AK415" s="4"/>
      <c r="AL415" s="3"/>
      <c r="AS415" s="4"/>
      <c r="AT415" s="4"/>
      <c r="AU415" s="3"/>
      <c r="BB415" s="4"/>
      <c r="BC415" s="3"/>
      <c r="BJ415" s="4"/>
      <c r="BK415" s="3"/>
      <c r="BR415" s="4"/>
      <c r="BS415" s="3"/>
      <c r="BZ415" s="4"/>
    </row>
    <row r="416" ht="14.25" customHeight="1">
      <c r="T416" s="3"/>
      <c r="AA416" s="4"/>
      <c r="AB416" s="4"/>
      <c r="AC416" s="3"/>
      <c r="AK416" s="4"/>
      <c r="AL416" s="3"/>
      <c r="AS416" s="4"/>
      <c r="AT416" s="4"/>
      <c r="AU416" s="3"/>
      <c r="BB416" s="4"/>
      <c r="BC416" s="3"/>
      <c r="BJ416" s="4"/>
      <c r="BK416" s="3"/>
      <c r="BR416" s="4"/>
      <c r="BS416" s="3"/>
      <c r="BZ416" s="4"/>
    </row>
    <row r="417" ht="14.25" customHeight="1">
      <c r="T417" s="3"/>
      <c r="AA417" s="4"/>
      <c r="AB417" s="4"/>
      <c r="AC417" s="3"/>
      <c r="AK417" s="4"/>
      <c r="AL417" s="3"/>
      <c r="AS417" s="4"/>
      <c r="AT417" s="4"/>
      <c r="AU417" s="3"/>
      <c r="BB417" s="4"/>
      <c r="BC417" s="3"/>
      <c r="BJ417" s="4"/>
      <c r="BK417" s="3"/>
      <c r="BR417" s="4"/>
      <c r="BS417" s="3"/>
      <c r="BZ417" s="4"/>
    </row>
    <row r="418" ht="14.25" customHeight="1">
      <c r="T418" s="3"/>
      <c r="AA418" s="4"/>
      <c r="AB418" s="4"/>
      <c r="AC418" s="3"/>
      <c r="AK418" s="4"/>
      <c r="AL418" s="3"/>
      <c r="AS418" s="4"/>
      <c r="AT418" s="4"/>
      <c r="AU418" s="3"/>
      <c r="BB418" s="4"/>
      <c r="BC418" s="3"/>
      <c r="BJ418" s="4"/>
      <c r="BK418" s="3"/>
      <c r="BR418" s="4"/>
      <c r="BS418" s="3"/>
      <c r="BZ418" s="4"/>
    </row>
    <row r="419" ht="14.25" customHeight="1">
      <c r="T419" s="3"/>
      <c r="AA419" s="4"/>
      <c r="AB419" s="4"/>
      <c r="AC419" s="3"/>
      <c r="AK419" s="4"/>
      <c r="AL419" s="3"/>
      <c r="AS419" s="4"/>
      <c r="AT419" s="4"/>
      <c r="AU419" s="3"/>
      <c r="BB419" s="4"/>
      <c r="BC419" s="3"/>
      <c r="BJ419" s="4"/>
      <c r="BK419" s="3"/>
      <c r="BR419" s="4"/>
      <c r="BS419" s="3"/>
      <c r="BZ419" s="4"/>
    </row>
    <row r="420" ht="14.25" customHeight="1">
      <c r="T420" s="3"/>
      <c r="AA420" s="4"/>
      <c r="AB420" s="4"/>
      <c r="AC420" s="3"/>
      <c r="AK420" s="4"/>
      <c r="AL420" s="3"/>
      <c r="AS420" s="4"/>
      <c r="AT420" s="4"/>
      <c r="AU420" s="3"/>
      <c r="BB420" s="4"/>
      <c r="BC420" s="3"/>
      <c r="BJ420" s="4"/>
      <c r="BK420" s="3"/>
      <c r="BR420" s="4"/>
      <c r="BS420" s="3"/>
      <c r="BZ420" s="4"/>
    </row>
    <row r="421" ht="14.25" customHeight="1">
      <c r="T421" s="3"/>
      <c r="AA421" s="4"/>
      <c r="AB421" s="4"/>
      <c r="AC421" s="3"/>
      <c r="AK421" s="4"/>
      <c r="AL421" s="3"/>
      <c r="AS421" s="4"/>
      <c r="AT421" s="4"/>
      <c r="AU421" s="3"/>
      <c r="BB421" s="4"/>
      <c r="BC421" s="3"/>
      <c r="BJ421" s="4"/>
      <c r="BK421" s="3"/>
      <c r="BR421" s="4"/>
      <c r="BS421" s="3"/>
      <c r="BZ421" s="4"/>
    </row>
    <row r="422" ht="14.25" customHeight="1">
      <c r="T422" s="3"/>
      <c r="AA422" s="4"/>
      <c r="AB422" s="4"/>
      <c r="AC422" s="3"/>
      <c r="AK422" s="4"/>
      <c r="AL422" s="3"/>
      <c r="AS422" s="4"/>
      <c r="AT422" s="4"/>
      <c r="AU422" s="3"/>
      <c r="BB422" s="4"/>
      <c r="BC422" s="3"/>
      <c r="BJ422" s="4"/>
      <c r="BK422" s="3"/>
      <c r="BR422" s="4"/>
      <c r="BS422" s="3"/>
      <c r="BZ422" s="4"/>
    </row>
    <row r="423" ht="14.25" customHeight="1">
      <c r="T423" s="3"/>
      <c r="AA423" s="4"/>
      <c r="AB423" s="4"/>
      <c r="AC423" s="3"/>
      <c r="AK423" s="4"/>
      <c r="AL423" s="3"/>
      <c r="AS423" s="4"/>
      <c r="AT423" s="4"/>
      <c r="AU423" s="3"/>
      <c r="BB423" s="4"/>
      <c r="BC423" s="3"/>
      <c r="BJ423" s="4"/>
      <c r="BK423" s="3"/>
      <c r="BR423" s="4"/>
      <c r="BS423" s="3"/>
      <c r="BZ423" s="4"/>
    </row>
    <row r="424" ht="14.25" customHeight="1">
      <c r="T424" s="3"/>
      <c r="AA424" s="4"/>
      <c r="AB424" s="4"/>
      <c r="AC424" s="3"/>
      <c r="AK424" s="4"/>
      <c r="AL424" s="3"/>
      <c r="AS424" s="4"/>
      <c r="AT424" s="4"/>
      <c r="AU424" s="3"/>
      <c r="BB424" s="4"/>
      <c r="BC424" s="3"/>
      <c r="BJ424" s="4"/>
      <c r="BK424" s="3"/>
      <c r="BR424" s="4"/>
      <c r="BS424" s="3"/>
      <c r="BZ424" s="4"/>
    </row>
    <row r="425" ht="14.25" customHeight="1">
      <c r="T425" s="3"/>
      <c r="AA425" s="4"/>
      <c r="AB425" s="4"/>
      <c r="AC425" s="3"/>
      <c r="AK425" s="4"/>
      <c r="AL425" s="3"/>
      <c r="AS425" s="4"/>
      <c r="AT425" s="4"/>
      <c r="AU425" s="3"/>
      <c r="BB425" s="4"/>
      <c r="BC425" s="3"/>
      <c r="BJ425" s="4"/>
      <c r="BK425" s="3"/>
      <c r="BR425" s="4"/>
      <c r="BS425" s="3"/>
      <c r="BZ425" s="4"/>
    </row>
    <row r="426" ht="14.25" customHeight="1">
      <c r="T426" s="3"/>
      <c r="AA426" s="4"/>
      <c r="AB426" s="4"/>
      <c r="AC426" s="3"/>
      <c r="AK426" s="4"/>
      <c r="AL426" s="3"/>
      <c r="AS426" s="4"/>
      <c r="AT426" s="4"/>
      <c r="AU426" s="3"/>
      <c r="BB426" s="4"/>
      <c r="BC426" s="3"/>
      <c r="BJ426" s="4"/>
      <c r="BK426" s="3"/>
      <c r="BR426" s="4"/>
      <c r="BS426" s="3"/>
      <c r="BZ426" s="4"/>
    </row>
    <row r="427" ht="14.25" customHeight="1">
      <c r="T427" s="3"/>
      <c r="AA427" s="4"/>
      <c r="AB427" s="4"/>
      <c r="AC427" s="3"/>
      <c r="AK427" s="4"/>
      <c r="AL427" s="3"/>
      <c r="AS427" s="4"/>
      <c r="AT427" s="4"/>
      <c r="AU427" s="3"/>
      <c r="BB427" s="4"/>
      <c r="BC427" s="3"/>
      <c r="BJ427" s="4"/>
      <c r="BK427" s="3"/>
      <c r="BR427" s="4"/>
      <c r="BS427" s="3"/>
      <c r="BZ427" s="4"/>
    </row>
    <row r="428" ht="14.25" customHeight="1">
      <c r="T428" s="3"/>
      <c r="AA428" s="4"/>
      <c r="AB428" s="4"/>
      <c r="AC428" s="3"/>
      <c r="AK428" s="4"/>
      <c r="AL428" s="3"/>
      <c r="AS428" s="4"/>
      <c r="AT428" s="4"/>
      <c r="AU428" s="3"/>
      <c r="BB428" s="4"/>
      <c r="BC428" s="3"/>
      <c r="BJ428" s="4"/>
      <c r="BK428" s="3"/>
      <c r="BR428" s="4"/>
      <c r="BS428" s="3"/>
      <c r="BZ428" s="4"/>
    </row>
    <row r="429" ht="14.25" customHeight="1">
      <c r="T429" s="3"/>
      <c r="AA429" s="4"/>
      <c r="AB429" s="4"/>
      <c r="AC429" s="3"/>
      <c r="AK429" s="4"/>
      <c r="AL429" s="3"/>
      <c r="AS429" s="4"/>
      <c r="AT429" s="4"/>
      <c r="AU429" s="3"/>
      <c r="BB429" s="4"/>
      <c r="BC429" s="3"/>
      <c r="BJ429" s="4"/>
      <c r="BK429" s="3"/>
      <c r="BR429" s="4"/>
      <c r="BS429" s="3"/>
      <c r="BZ429" s="4"/>
    </row>
    <row r="430" ht="14.25" customHeight="1">
      <c r="T430" s="3"/>
      <c r="AA430" s="4"/>
      <c r="AB430" s="4"/>
      <c r="AC430" s="3"/>
      <c r="AK430" s="4"/>
      <c r="AL430" s="3"/>
      <c r="AS430" s="4"/>
      <c r="AT430" s="4"/>
      <c r="AU430" s="3"/>
      <c r="BB430" s="4"/>
      <c r="BC430" s="3"/>
      <c r="BJ430" s="4"/>
      <c r="BK430" s="3"/>
      <c r="BR430" s="4"/>
      <c r="BS430" s="3"/>
      <c r="BZ430" s="4"/>
    </row>
    <row r="431" ht="14.25" customHeight="1">
      <c r="T431" s="3"/>
      <c r="AA431" s="4"/>
      <c r="AB431" s="4"/>
      <c r="AC431" s="3"/>
      <c r="AK431" s="4"/>
      <c r="AL431" s="3"/>
      <c r="AS431" s="4"/>
      <c r="AT431" s="4"/>
      <c r="AU431" s="3"/>
      <c r="BB431" s="4"/>
      <c r="BC431" s="3"/>
      <c r="BJ431" s="4"/>
      <c r="BK431" s="3"/>
      <c r="BR431" s="4"/>
      <c r="BS431" s="3"/>
      <c r="BZ431" s="4"/>
    </row>
    <row r="432" ht="14.25" customHeight="1">
      <c r="T432" s="3"/>
      <c r="AA432" s="4"/>
      <c r="AB432" s="4"/>
      <c r="AC432" s="3"/>
      <c r="AK432" s="4"/>
      <c r="AL432" s="3"/>
      <c r="AS432" s="4"/>
      <c r="AT432" s="4"/>
      <c r="AU432" s="3"/>
      <c r="BB432" s="4"/>
      <c r="BC432" s="3"/>
      <c r="BJ432" s="4"/>
      <c r="BK432" s="3"/>
      <c r="BR432" s="4"/>
      <c r="BS432" s="3"/>
      <c r="BZ432" s="4"/>
    </row>
    <row r="433" ht="14.25" customHeight="1">
      <c r="T433" s="3"/>
      <c r="AA433" s="4"/>
      <c r="AB433" s="4"/>
      <c r="AC433" s="3"/>
      <c r="AK433" s="4"/>
      <c r="AL433" s="3"/>
      <c r="AS433" s="4"/>
      <c r="AT433" s="4"/>
      <c r="AU433" s="3"/>
      <c r="BB433" s="4"/>
      <c r="BC433" s="3"/>
      <c r="BJ433" s="4"/>
      <c r="BK433" s="3"/>
      <c r="BR433" s="4"/>
      <c r="BS433" s="3"/>
      <c r="BZ433" s="4"/>
    </row>
    <row r="434" ht="14.25" customHeight="1">
      <c r="T434" s="3"/>
      <c r="AA434" s="4"/>
      <c r="AB434" s="4"/>
      <c r="AC434" s="3"/>
      <c r="AK434" s="4"/>
      <c r="AL434" s="3"/>
      <c r="AS434" s="4"/>
      <c r="AT434" s="4"/>
      <c r="AU434" s="3"/>
      <c r="BB434" s="4"/>
      <c r="BC434" s="3"/>
      <c r="BJ434" s="4"/>
      <c r="BK434" s="3"/>
      <c r="BR434" s="4"/>
      <c r="BS434" s="3"/>
      <c r="BZ434" s="4"/>
    </row>
    <row r="435" ht="14.25" customHeight="1">
      <c r="T435" s="3"/>
      <c r="AA435" s="4"/>
      <c r="AB435" s="4"/>
      <c r="AC435" s="3"/>
      <c r="AK435" s="4"/>
      <c r="AL435" s="3"/>
      <c r="AS435" s="4"/>
      <c r="AT435" s="4"/>
      <c r="AU435" s="3"/>
      <c r="BB435" s="4"/>
      <c r="BC435" s="3"/>
      <c r="BJ435" s="4"/>
      <c r="BK435" s="3"/>
      <c r="BR435" s="4"/>
      <c r="BS435" s="3"/>
      <c r="BZ435" s="4"/>
    </row>
    <row r="436" ht="14.25" customHeight="1">
      <c r="T436" s="3"/>
      <c r="AA436" s="4"/>
      <c r="AB436" s="4"/>
      <c r="AC436" s="3"/>
      <c r="AK436" s="4"/>
      <c r="AL436" s="3"/>
      <c r="AS436" s="4"/>
      <c r="AT436" s="4"/>
      <c r="AU436" s="3"/>
      <c r="BB436" s="4"/>
      <c r="BC436" s="3"/>
      <c r="BJ436" s="4"/>
      <c r="BK436" s="3"/>
      <c r="BR436" s="4"/>
      <c r="BS436" s="3"/>
      <c r="BZ436" s="4"/>
    </row>
    <row r="437" ht="14.25" customHeight="1">
      <c r="T437" s="3"/>
      <c r="AA437" s="4"/>
      <c r="AB437" s="4"/>
      <c r="AC437" s="3"/>
      <c r="AK437" s="4"/>
      <c r="AL437" s="3"/>
      <c r="AS437" s="4"/>
      <c r="AT437" s="4"/>
      <c r="AU437" s="3"/>
      <c r="BB437" s="4"/>
      <c r="BC437" s="3"/>
      <c r="BJ437" s="4"/>
      <c r="BK437" s="3"/>
      <c r="BR437" s="4"/>
      <c r="BS437" s="3"/>
      <c r="BZ437" s="4"/>
    </row>
    <row r="438" ht="14.25" customHeight="1">
      <c r="T438" s="3"/>
      <c r="AA438" s="4"/>
      <c r="AB438" s="4"/>
      <c r="AC438" s="3"/>
      <c r="AK438" s="4"/>
      <c r="AL438" s="3"/>
      <c r="AS438" s="4"/>
      <c r="AT438" s="4"/>
      <c r="AU438" s="3"/>
      <c r="BB438" s="4"/>
      <c r="BC438" s="3"/>
      <c r="BJ438" s="4"/>
      <c r="BK438" s="3"/>
      <c r="BR438" s="4"/>
      <c r="BS438" s="3"/>
      <c r="BZ438" s="4"/>
    </row>
    <row r="439" ht="14.25" customHeight="1">
      <c r="T439" s="3"/>
      <c r="AA439" s="4"/>
      <c r="AB439" s="4"/>
      <c r="AC439" s="3"/>
      <c r="AK439" s="4"/>
      <c r="AL439" s="3"/>
      <c r="AS439" s="4"/>
      <c r="AT439" s="4"/>
      <c r="AU439" s="3"/>
      <c r="BB439" s="4"/>
      <c r="BC439" s="3"/>
      <c r="BJ439" s="4"/>
      <c r="BK439" s="3"/>
      <c r="BR439" s="4"/>
      <c r="BS439" s="3"/>
      <c r="BZ439" s="4"/>
    </row>
    <row r="440" ht="14.25" customHeight="1">
      <c r="T440" s="3"/>
      <c r="AA440" s="4"/>
      <c r="AB440" s="4"/>
      <c r="AC440" s="3"/>
      <c r="AK440" s="4"/>
      <c r="AL440" s="3"/>
      <c r="AS440" s="4"/>
      <c r="AT440" s="4"/>
      <c r="AU440" s="3"/>
      <c r="BB440" s="4"/>
      <c r="BC440" s="3"/>
      <c r="BJ440" s="4"/>
      <c r="BK440" s="3"/>
      <c r="BR440" s="4"/>
      <c r="BS440" s="3"/>
      <c r="BZ440" s="4"/>
    </row>
    <row r="441" ht="14.25" customHeight="1">
      <c r="T441" s="3"/>
      <c r="AA441" s="4"/>
      <c r="AB441" s="4"/>
      <c r="AC441" s="3"/>
      <c r="AK441" s="4"/>
      <c r="AL441" s="3"/>
      <c r="AS441" s="4"/>
      <c r="AT441" s="4"/>
      <c r="AU441" s="3"/>
      <c r="BB441" s="4"/>
      <c r="BC441" s="3"/>
      <c r="BJ441" s="4"/>
      <c r="BK441" s="3"/>
      <c r="BR441" s="4"/>
      <c r="BS441" s="3"/>
      <c r="BZ441" s="4"/>
    </row>
    <row r="442" ht="14.25" customHeight="1">
      <c r="T442" s="3"/>
      <c r="AA442" s="4"/>
      <c r="AB442" s="4"/>
      <c r="AC442" s="3"/>
      <c r="AK442" s="4"/>
      <c r="AL442" s="3"/>
      <c r="AS442" s="4"/>
      <c r="AT442" s="4"/>
      <c r="AU442" s="3"/>
      <c r="BB442" s="4"/>
      <c r="BC442" s="3"/>
      <c r="BJ442" s="4"/>
      <c r="BK442" s="3"/>
      <c r="BR442" s="4"/>
      <c r="BS442" s="3"/>
      <c r="BZ442" s="4"/>
    </row>
    <row r="443" ht="14.25" customHeight="1">
      <c r="T443" s="3"/>
      <c r="AA443" s="4"/>
      <c r="AB443" s="4"/>
      <c r="AC443" s="3"/>
      <c r="AK443" s="4"/>
      <c r="AL443" s="3"/>
      <c r="AS443" s="4"/>
      <c r="AT443" s="4"/>
      <c r="AU443" s="3"/>
      <c r="BB443" s="4"/>
      <c r="BC443" s="3"/>
      <c r="BJ443" s="4"/>
      <c r="BK443" s="3"/>
      <c r="BR443" s="4"/>
      <c r="BS443" s="3"/>
      <c r="BZ443" s="4"/>
    </row>
    <row r="444" ht="14.25" customHeight="1">
      <c r="T444" s="3"/>
      <c r="AA444" s="4"/>
      <c r="AB444" s="4"/>
      <c r="AC444" s="3"/>
      <c r="AK444" s="4"/>
      <c r="AL444" s="3"/>
      <c r="AS444" s="4"/>
      <c r="AT444" s="4"/>
      <c r="AU444" s="3"/>
      <c r="BB444" s="4"/>
      <c r="BC444" s="3"/>
      <c r="BJ444" s="4"/>
      <c r="BK444" s="3"/>
      <c r="BR444" s="4"/>
      <c r="BS444" s="3"/>
      <c r="BZ444" s="4"/>
    </row>
    <row r="445" ht="14.25" customHeight="1">
      <c r="T445" s="3"/>
      <c r="AA445" s="4"/>
      <c r="AB445" s="4"/>
      <c r="AC445" s="3"/>
      <c r="AK445" s="4"/>
      <c r="AL445" s="3"/>
      <c r="AS445" s="4"/>
      <c r="AT445" s="4"/>
      <c r="AU445" s="3"/>
      <c r="BB445" s="4"/>
      <c r="BC445" s="3"/>
      <c r="BJ445" s="4"/>
      <c r="BK445" s="3"/>
      <c r="BR445" s="4"/>
      <c r="BS445" s="3"/>
      <c r="BZ445" s="4"/>
    </row>
    <row r="446" ht="14.25" customHeight="1">
      <c r="T446" s="3"/>
      <c r="AA446" s="4"/>
      <c r="AB446" s="4"/>
      <c r="AC446" s="3"/>
      <c r="AK446" s="4"/>
      <c r="AL446" s="3"/>
      <c r="AS446" s="4"/>
      <c r="AT446" s="4"/>
      <c r="AU446" s="3"/>
      <c r="BB446" s="4"/>
      <c r="BC446" s="3"/>
      <c r="BJ446" s="4"/>
      <c r="BK446" s="3"/>
      <c r="BR446" s="4"/>
      <c r="BS446" s="3"/>
      <c r="BZ446" s="4"/>
    </row>
    <row r="447" ht="14.25" customHeight="1">
      <c r="T447" s="3"/>
      <c r="AA447" s="4"/>
      <c r="AB447" s="4"/>
      <c r="AC447" s="3"/>
      <c r="AK447" s="4"/>
      <c r="AL447" s="3"/>
      <c r="AS447" s="4"/>
      <c r="AT447" s="4"/>
      <c r="AU447" s="3"/>
      <c r="BB447" s="4"/>
      <c r="BC447" s="3"/>
      <c r="BJ447" s="4"/>
      <c r="BK447" s="3"/>
      <c r="BR447" s="4"/>
      <c r="BS447" s="3"/>
      <c r="BZ447" s="4"/>
    </row>
    <row r="448" ht="14.25" customHeight="1">
      <c r="T448" s="3"/>
      <c r="AA448" s="4"/>
      <c r="AB448" s="4"/>
      <c r="AC448" s="3"/>
      <c r="AK448" s="4"/>
      <c r="AL448" s="3"/>
      <c r="AS448" s="4"/>
      <c r="AT448" s="4"/>
      <c r="AU448" s="3"/>
      <c r="BB448" s="4"/>
      <c r="BC448" s="3"/>
      <c r="BJ448" s="4"/>
      <c r="BK448" s="3"/>
      <c r="BR448" s="4"/>
      <c r="BS448" s="3"/>
      <c r="BZ448" s="4"/>
    </row>
    <row r="449" ht="14.25" customHeight="1">
      <c r="T449" s="3"/>
      <c r="AA449" s="4"/>
      <c r="AB449" s="4"/>
      <c r="AC449" s="3"/>
      <c r="AK449" s="4"/>
      <c r="AL449" s="3"/>
      <c r="AS449" s="4"/>
      <c r="AT449" s="4"/>
      <c r="AU449" s="3"/>
      <c r="BB449" s="4"/>
      <c r="BC449" s="3"/>
      <c r="BJ449" s="4"/>
      <c r="BK449" s="3"/>
      <c r="BR449" s="4"/>
      <c r="BS449" s="3"/>
      <c r="BZ449" s="4"/>
    </row>
    <row r="450" ht="14.25" customHeight="1">
      <c r="T450" s="3"/>
      <c r="AA450" s="4"/>
      <c r="AB450" s="4"/>
      <c r="AC450" s="3"/>
      <c r="AK450" s="4"/>
      <c r="AL450" s="3"/>
      <c r="AS450" s="4"/>
      <c r="AT450" s="4"/>
      <c r="AU450" s="3"/>
      <c r="BB450" s="4"/>
      <c r="BC450" s="3"/>
      <c r="BJ450" s="4"/>
      <c r="BK450" s="3"/>
      <c r="BR450" s="4"/>
      <c r="BS450" s="3"/>
      <c r="BZ450" s="4"/>
    </row>
    <row r="451" ht="14.25" customHeight="1">
      <c r="T451" s="3"/>
      <c r="AA451" s="4"/>
      <c r="AB451" s="4"/>
      <c r="AC451" s="3"/>
      <c r="AK451" s="4"/>
      <c r="AL451" s="3"/>
      <c r="AS451" s="4"/>
      <c r="AT451" s="4"/>
      <c r="AU451" s="3"/>
      <c r="BB451" s="4"/>
      <c r="BC451" s="3"/>
      <c r="BJ451" s="4"/>
      <c r="BK451" s="3"/>
      <c r="BR451" s="4"/>
      <c r="BS451" s="3"/>
      <c r="BZ451" s="4"/>
    </row>
    <row r="452" ht="14.25" customHeight="1">
      <c r="T452" s="3"/>
      <c r="AA452" s="4"/>
      <c r="AB452" s="4"/>
      <c r="AC452" s="3"/>
      <c r="AK452" s="4"/>
      <c r="AL452" s="3"/>
      <c r="AS452" s="4"/>
      <c r="AT452" s="4"/>
      <c r="AU452" s="3"/>
      <c r="BB452" s="4"/>
      <c r="BC452" s="3"/>
      <c r="BJ452" s="4"/>
      <c r="BK452" s="3"/>
      <c r="BR452" s="4"/>
      <c r="BS452" s="3"/>
      <c r="BZ452" s="4"/>
    </row>
    <row r="453" ht="14.25" customHeight="1">
      <c r="T453" s="3"/>
      <c r="AA453" s="4"/>
      <c r="AB453" s="4"/>
      <c r="AC453" s="3"/>
      <c r="AK453" s="4"/>
      <c r="AL453" s="3"/>
      <c r="AS453" s="4"/>
      <c r="AT453" s="4"/>
      <c r="AU453" s="3"/>
      <c r="BB453" s="4"/>
      <c r="BC453" s="3"/>
      <c r="BJ453" s="4"/>
      <c r="BK453" s="3"/>
      <c r="BR453" s="4"/>
      <c r="BS453" s="3"/>
      <c r="BZ453" s="4"/>
    </row>
    <row r="454" ht="14.25" customHeight="1">
      <c r="T454" s="3"/>
      <c r="AA454" s="4"/>
      <c r="AB454" s="4"/>
      <c r="AC454" s="3"/>
      <c r="AK454" s="4"/>
      <c r="AL454" s="3"/>
      <c r="AS454" s="4"/>
      <c r="AT454" s="4"/>
      <c r="AU454" s="3"/>
      <c r="BB454" s="4"/>
      <c r="BC454" s="3"/>
      <c r="BJ454" s="4"/>
      <c r="BK454" s="3"/>
      <c r="BR454" s="4"/>
      <c r="BS454" s="3"/>
      <c r="BZ454" s="4"/>
    </row>
    <row r="455" ht="14.25" customHeight="1">
      <c r="T455" s="3"/>
      <c r="AA455" s="4"/>
      <c r="AB455" s="4"/>
      <c r="AC455" s="3"/>
      <c r="AK455" s="4"/>
      <c r="AL455" s="3"/>
      <c r="AS455" s="4"/>
      <c r="AT455" s="4"/>
      <c r="AU455" s="3"/>
      <c r="BB455" s="4"/>
      <c r="BC455" s="3"/>
      <c r="BJ455" s="4"/>
      <c r="BK455" s="3"/>
      <c r="BR455" s="4"/>
      <c r="BS455" s="3"/>
      <c r="BZ455" s="4"/>
    </row>
    <row r="456" ht="14.25" customHeight="1">
      <c r="T456" s="3"/>
      <c r="AA456" s="4"/>
      <c r="AB456" s="4"/>
      <c r="AC456" s="3"/>
      <c r="AK456" s="4"/>
      <c r="AL456" s="3"/>
      <c r="AS456" s="4"/>
      <c r="AT456" s="4"/>
      <c r="AU456" s="3"/>
      <c r="BB456" s="4"/>
      <c r="BC456" s="3"/>
      <c r="BJ456" s="4"/>
      <c r="BK456" s="3"/>
      <c r="BR456" s="4"/>
      <c r="BS456" s="3"/>
      <c r="BZ456" s="4"/>
    </row>
    <row r="457" ht="14.25" customHeight="1">
      <c r="T457" s="3"/>
      <c r="AA457" s="4"/>
      <c r="AB457" s="4"/>
      <c r="AC457" s="3"/>
      <c r="AK457" s="4"/>
      <c r="AL457" s="3"/>
      <c r="AS457" s="4"/>
      <c r="AT457" s="4"/>
      <c r="AU457" s="3"/>
      <c r="BB457" s="4"/>
      <c r="BC457" s="3"/>
      <c r="BJ457" s="4"/>
      <c r="BK457" s="3"/>
      <c r="BR457" s="4"/>
      <c r="BS457" s="3"/>
      <c r="BZ457" s="4"/>
    </row>
    <row r="458" ht="14.25" customHeight="1">
      <c r="T458" s="3"/>
      <c r="AA458" s="4"/>
      <c r="AB458" s="4"/>
      <c r="AC458" s="3"/>
      <c r="AK458" s="4"/>
      <c r="AL458" s="3"/>
      <c r="AS458" s="4"/>
      <c r="AT458" s="4"/>
      <c r="AU458" s="3"/>
      <c r="BB458" s="4"/>
      <c r="BC458" s="3"/>
      <c r="BJ458" s="4"/>
      <c r="BK458" s="3"/>
      <c r="BR458" s="4"/>
      <c r="BS458" s="3"/>
      <c r="BZ458" s="4"/>
    </row>
    <row r="459" ht="14.25" customHeight="1">
      <c r="T459" s="3"/>
      <c r="AA459" s="4"/>
      <c r="AB459" s="4"/>
      <c r="AC459" s="3"/>
      <c r="AK459" s="4"/>
      <c r="AL459" s="3"/>
      <c r="AS459" s="4"/>
      <c r="AT459" s="4"/>
      <c r="AU459" s="3"/>
      <c r="BB459" s="4"/>
      <c r="BC459" s="3"/>
      <c r="BJ459" s="4"/>
      <c r="BK459" s="3"/>
      <c r="BR459" s="4"/>
      <c r="BS459" s="3"/>
      <c r="BZ459" s="4"/>
    </row>
    <row r="460" ht="14.25" customHeight="1">
      <c r="T460" s="3"/>
      <c r="AA460" s="4"/>
      <c r="AB460" s="4"/>
      <c r="AC460" s="3"/>
      <c r="AK460" s="4"/>
      <c r="AL460" s="3"/>
      <c r="AS460" s="4"/>
      <c r="AT460" s="4"/>
      <c r="AU460" s="3"/>
      <c r="BB460" s="4"/>
      <c r="BC460" s="3"/>
      <c r="BJ460" s="4"/>
      <c r="BK460" s="3"/>
      <c r="BR460" s="4"/>
      <c r="BS460" s="3"/>
      <c r="BZ460" s="4"/>
    </row>
    <row r="461" ht="14.25" customHeight="1">
      <c r="T461" s="3"/>
      <c r="AA461" s="4"/>
      <c r="AB461" s="4"/>
      <c r="AC461" s="3"/>
      <c r="AK461" s="4"/>
      <c r="AL461" s="3"/>
      <c r="AS461" s="4"/>
      <c r="AT461" s="4"/>
      <c r="AU461" s="3"/>
      <c r="BB461" s="4"/>
      <c r="BC461" s="3"/>
      <c r="BJ461" s="4"/>
      <c r="BK461" s="3"/>
      <c r="BR461" s="4"/>
      <c r="BS461" s="3"/>
      <c r="BZ461" s="4"/>
    </row>
    <row r="462" ht="14.25" customHeight="1">
      <c r="T462" s="3"/>
      <c r="AA462" s="4"/>
      <c r="AB462" s="4"/>
      <c r="AC462" s="3"/>
      <c r="AK462" s="4"/>
      <c r="AL462" s="3"/>
      <c r="AS462" s="4"/>
      <c r="AT462" s="4"/>
      <c r="AU462" s="3"/>
      <c r="BB462" s="4"/>
      <c r="BC462" s="3"/>
      <c r="BJ462" s="4"/>
      <c r="BK462" s="3"/>
      <c r="BR462" s="4"/>
      <c r="BS462" s="3"/>
      <c r="BZ462" s="4"/>
    </row>
    <row r="463" ht="14.25" customHeight="1">
      <c r="T463" s="3"/>
      <c r="AA463" s="4"/>
      <c r="AB463" s="4"/>
      <c r="AC463" s="3"/>
      <c r="AK463" s="4"/>
      <c r="AL463" s="3"/>
      <c r="AS463" s="4"/>
      <c r="AT463" s="4"/>
      <c r="AU463" s="3"/>
      <c r="BB463" s="4"/>
      <c r="BC463" s="3"/>
      <c r="BJ463" s="4"/>
      <c r="BK463" s="3"/>
      <c r="BR463" s="4"/>
      <c r="BS463" s="3"/>
      <c r="BZ463" s="4"/>
    </row>
    <row r="464" ht="14.25" customHeight="1">
      <c r="T464" s="3"/>
      <c r="AA464" s="4"/>
      <c r="AB464" s="4"/>
      <c r="AC464" s="3"/>
      <c r="AK464" s="4"/>
      <c r="AL464" s="3"/>
      <c r="AS464" s="4"/>
      <c r="AT464" s="4"/>
      <c r="AU464" s="3"/>
      <c r="BB464" s="4"/>
      <c r="BC464" s="3"/>
      <c r="BJ464" s="4"/>
      <c r="BK464" s="3"/>
      <c r="BR464" s="4"/>
      <c r="BS464" s="3"/>
      <c r="BZ464" s="4"/>
    </row>
    <row r="465" ht="14.25" customHeight="1">
      <c r="T465" s="3"/>
      <c r="AA465" s="4"/>
      <c r="AB465" s="4"/>
      <c r="AC465" s="3"/>
      <c r="AK465" s="4"/>
      <c r="AL465" s="3"/>
      <c r="AS465" s="4"/>
      <c r="AT465" s="4"/>
      <c r="AU465" s="3"/>
      <c r="BB465" s="4"/>
      <c r="BC465" s="3"/>
      <c r="BJ465" s="4"/>
      <c r="BK465" s="3"/>
      <c r="BR465" s="4"/>
      <c r="BS465" s="3"/>
      <c r="BZ465" s="4"/>
    </row>
    <row r="466" ht="14.25" customHeight="1">
      <c r="T466" s="3"/>
      <c r="AA466" s="4"/>
      <c r="AB466" s="4"/>
      <c r="AC466" s="3"/>
      <c r="AK466" s="4"/>
      <c r="AL466" s="3"/>
      <c r="AS466" s="4"/>
      <c r="AT466" s="4"/>
      <c r="AU466" s="3"/>
      <c r="BB466" s="4"/>
      <c r="BC466" s="3"/>
      <c r="BJ466" s="4"/>
      <c r="BK466" s="3"/>
      <c r="BR466" s="4"/>
      <c r="BS466" s="3"/>
      <c r="BZ466" s="4"/>
    </row>
    <row r="467" ht="14.25" customHeight="1">
      <c r="T467" s="3"/>
      <c r="AA467" s="4"/>
      <c r="AB467" s="4"/>
      <c r="AC467" s="3"/>
      <c r="AK467" s="4"/>
      <c r="AL467" s="3"/>
      <c r="AS467" s="4"/>
      <c r="AT467" s="4"/>
      <c r="AU467" s="3"/>
      <c r="BB467" s="4"/>
      <c r="BC467" s="3"/>
      <c r="BJ467" s="4"/>
      <c r="BK467" s="3"/>
      <c r="BR467" s="4"/>
      <c r="BS467" s="3"/>
      <c r="BZ467" s="4"/>
    </row>
    <row r="468" ht="14.25" customHeight="1">
      <c r="T468" s="3"/>
      <c r="AA468" s="4"/>
      <c r="AB468" s="4"/>
      <c r="AC468" s="3"/>
      <c r="AK468" s="4"/>
      <c r="AL468" s="3"/>
      <c r="AS468" s="4"/>
      <c r="AT468" s="4"/>
      <c r="AU468" s="3"/>
      <c r="BB468" s="4"/>
      <c r="BC468" s="3"/>
      <c r="BJ468" s="4"/>
      <c r="BK468" s="3"/>
      <c r="BR468" s="4"/>
      <c r="BS468" s="3"/>
      <c r="BZ468" s="4"/>
    </row>
    <row r="469" ht="14.25" customHeight="1">
      <c r="T469" s="3"/>
      <c r="AA469" s="4"/>
      <c r="AB469" s="4"/>
      <c r="AC469" s="3"/>
      <c r="AK469" s="4"/>
      <c r="AL469" s="3"/>
      <c r="AS469" s="4"/>
      <c r="AT469" s="4"/>
      <c r="AU469" s="3"/>
      <c r="BB469" s="4"/>
      <c r="BC469" s="3"/>
      <c r="BJ469" s="4"/>
      <c r="BK469" s="3"/>
      <c r="BR469" s="4"/>
      <c r="BS469" s="3"/>
      <c r="BZ469" s="4"/>
    </row>
    <row r="470" ht="14.25" customHeight="1">
      <c r="T470" s="3"/>
      <c r="AA470" s="4"/>
      <c r="AB470" s="4"/>
      <c r="AC470" s="3"/>
      <c r="AK470" s="4"/>
      <c r="AL470" s="3"/>
      <c r="AS470" s="4"/>
      <c r="AT470" s="4"/>
      <c r="AU470" s="3"/>
      <c r="BB470" s="4"/>
      <c r="BC470" s="3"/>
      <c r="BJ470" s="4"/>
      <c r="BK470" s="3"/>
      <c r="BR470" s="4"/>
      <c r="BS470" s="3"/>
      <c r="BZ470" s="4"/>
    </row>
    <row r="471" ht="14.25" customHeight="1">
      <c r="T471" s="3"/>
      <c r="AA471" s="4"/>
      <c r="AB471" s="4"/>
      <c r="AC471" s="3"/>
      <c r="AK471" s="4"/>
      <c r="AL471" s="3"/>
      <c r="AS471" s="4"/>
      <c r="AT471" s="4"/>
      <c r="AU471" s="3"/>
      <c r="BB471" s="4"/>
      <c r="BC471" s="3"/>
      <c r="BJ471" s="4"/>
      <c r="BK471" s="3"/>
      <c r="BR471" s="4"/>
      <c r="BS471" s="3"/>
      <c r="BZ471" s="4"/>
    </row>
    <row r="472" ht="14.25" customHeight="1">
      <c r="T472" s="3"/>
      <c r="AA472" s="4"/>
      <c r="AB472" s="4"/>
      <c r="AC472" s="3"/>
      <c r="AK472" s="4"/>
      <c r="AL472" s="3"/>
      <c r="AS472" s="4"/>
      <c r="AT472" s="4"/>
      <c r="AU472" s="3"/>
      <c r="BB472" s="4"/>
      <c r="BC472" s="3"/>
      <c r="BJ472" s="4"/>
      <c r="BK472" s="3"/>
      <c r="BR472" s="4"/>
      <c r="BS472" s="3"/>
      <c r="BZ472" s="4"/>
    </row>
    <row r="473" ht="14.25" customHeight="1">
      <c r="T473" s="3"/>
      <c r="AA473" s="4"/>
      <c r="AB473" s="4"/>
      <c r="AC473" s="3"/>
      <c r="AK473" s="4"/>
      <c r="AL473" s="3"/>
      <c r="AS473" s="4"/>
      <c r="AT473" s="4"/>
      <c r="AU473" s="3"/>
      <c r="BB473" s="4"/>
      <c r="BC473" s="3"/>
      <c r="BJ473" s="4"/>
      <c r="BK473" s="3"/>
      <c r="BR473" s="4"/>
      <c r="BS473" s="3"/>
      <c r="BZ473" s="4"/>
    </row>
    <row r="474" ht="14.25" customHeight="1">
      <c r="T474" s="3"/>
      <c r="AA474" s="4"/>
      <c r="AB474" s="4"/>
      <c r="AC474" s="3"/>
      <c r="AK474" s="4"/>
      <c r="AL474" s="3"/>
      <c r="AS474" s="4"/>
      <c r="AT474" s="4"/>
      <c r="AU474" s="3"/>
      <c r="BB474" s="4"/>
      <c r="BC474" s="3"/>
      <c r="BJ474" s="4"/>
      <c r="BK474" s="3"/>
      <c r="BR474" s="4"/>
      <c r="BS474" s="3"/>
      <c r="BZ474" s="4"/>
    </row>
    <row r="475" ht="14.25" customHeight="1">
      <c r="T475" s="3"/>
      <c r="AA475" s="4"/>
      <c r="AB475" s="4"/>
      <c r="AC475" s="3"/>
      <c r="AK475" s="4"/>
      <c r="AL475" s="3"/>
      <c r="AS475" s="4"/>
      <c r="AT475" s="4"/>
      <c r="AU475" s="3"/>
      <c r="BB475" s="4"/>
      <c r="BC475" s="3"/>
      <c r="BJ475" s="4"/>
      <c r="BK475" s="3"/>
      <c r="BR475" s="4"/>
      <c r="BS475" s="3"/>
      <c r="BZ475" s="4"/>
    </row>
    <row r="476" ht="14.25" customHeight="1">
      <c r="T476" s="3"/>
      <c r="AA476" s="4"/>
      <c r="AB476" s="4"/>
      <c r="AC476" s="3"/>
      <c r="AK476" s="4"/>
      <c r="AL476" s="3"/>
      <c r="AS476" s="4"/>
      <c r="AT476" s="4"/>
      <c r="AU476" s="3"/>
      <c r="BB476" s="4"/>
      <c r="BC476" s="3"/>
      <c r="BJ476" s="4"/>
      <c r="BK476" s="3"/>
      <c r="BR476" s="4"/>
      <c r="BS476" s="3"/>
      <c r="BZ476" s="4"/>
    </row>
    <row r="477" ht="14.25" customHeight="1">
      <c r="T477" s="3"/>
      <c r="AA477" s="4"/>
      <c r="AB477" s="4"/>
      <c r="AC477" s="3"/>
      <c r="AK477" s="4"/>
      <c r="AL477" s="3"/>
      <c r="AS477" s="4"/>
      <c r="AT477" s="4"/>
      <c r="AU477" s="3"/>
      <c r="BB477" s="4"/>
      <c r="BC477" s="3"/>
      <c r="BJ477" s="4"/>
      <c r="BK477" s="3"/>
      <c r="BR477" s="4"/>
      <c r="BS477" s="3"/>
      <c r="BZ477" s="4"/>
    </row>
    <row r="478" ht="14.25" customHeight="1">
      <c r="T478" s="3"/>
      <c r="AA478" s="4"/>
      <c r="AB478" s="4"/>
      <c r="AC478" s="3"/>
      <c r="AK478" s="4"/>
      <c r="AL478" s="3"/>
      <c r="AS478" s="4"/>
      <c r="AT478" s="4"/>
      <c r="AU478" s="3"/>
      <c r="BB478" s="4"/>
      <c r="BC478" s="3"/>
      <c r="BJ478" s="4"/>
      <c r="BK478" s="3"/>
      <c r="BR478" s="4"/>
      <c r="BS478" s="3"/>
      <c r="BZ478" s="4"/>
    </row>
    <row r="479" ht="14.25" customHeight="1">
      <c r="T479" s="3"/>
      <c r="AA479" s="4"/>
      <c r="AB479" s="4"/>
      <c r="AC479" s="3"/>
      <c r="AK479" s="4"/>
      <c r="AL479" s="3"/>
      <c r="AS479" s="4"/>
      <c r="AT479" s="4"/>
      <c r="AU479" s="3"/>
      <c r="BB479" s="4"/>
      <c r="BC479" s="3"/>
      <c r="BJ479" s="4"/>
      <c r="BK479" s="3"/>
      <c r="BR479" s="4"/>
      <c r="BS479" s="3"/>
      <c r="BZ479" s="4"/>
    </row>
    <row r="480" ht="14.25" customHeight="1">
      <c r="T480" s="3"/>
      <c r="AA480" s="4"/>
      <c r="AB480" s="4"/>
      <c r="AC480" s="3"/>
      <c r="AK480" s="4"/>
      <c r="AL480" s="3"/>
      <c r="AS480" s="4"/>
      <c r="AT480" s="4"/>
      <c r="AU480" s="3"/>
      <c r="BB480" s="4"/>
      <c r="BC480" s="3"/>
      <c r="BJ480" s="4"/>
      <c r="BK480" s="3"/>
      <c r="BR480" s="4"/>
      <c r="BS480" s="3"/>
      <c r="BZ480" s="4"/>
    </row>
    <row r="481" ht="14.25" customHeight="1">
      <c r="T481" s="3"/>
      <c r="AA481" s="4"/>
      <c r="AB481" s="4"/>
      <c r="AC481" s="3"/>
      <c r="AK481" s="4"/>
      <c r="AL481" s="3"/>
      <c r="AS481" s="4"/>
      <c r="AT481" s="4"/>
      <c r="AU481" s="3"/>
      <c r="BB481" s="4"/>
      <c r="BC481" s="3"/>
      <c r="BJ481" s="4"/>
      <c r="BK481" s="3"/>
      <c r="BR481" s="4"/>
      <c r="BS481" s="3"/>
      <c r="BZ481" s="4"/>
    </row>
    <row r="482" ht="14.25" customHeight="1">
      <c r="T482" s="3"/>
      <c r="AA482" s="4"/>
      <c r="AB482" s="4"/>
      <c r="AC482" s="3"/>
      <c r="AK482" s="4"/>
      <c r="AL482" s="3"/>
      <c r="AS482" s="4"/>
      <c r="AT482" s="4"/>
      <c r="AU482" s="3"/>
      <c r="BB482" s="4"/>
      <c r="BC482" s="3"/>
      <c r="BJ482" s="4"/>
      <c r="BK482" s="3"/>
      <c r="BR482" s="4"/>
      <c r="BS482" s="3"/>
      <c r="BZ482" s="4"/>
    </row>
    <row r="483" ht="14.25" customHeight="1">
      <c r="T483" s="3"/>
      <c r="AA483" s="4"/>
      <c r="AB483" s="4"/>
      <c r="AC483" s="3"/>
      <c r="AK483" s="4"/>
      <c r="AL483" s="3"/>
      <c r="AS483" s="4"/>
      <c r="AT483" s="4"/>
      <c r="AU483" s="3"/>
      <c r="BB483" s="4"/>
      <c r="BC483" s="3"/>
      <c r="BJ483" s="4"/>
      <c r="BK483" s="3"/>
      <c r="BR483" s="4"/>
      <c r="BS483" s="3"/>
      <c r="BZ483" s="4"/>
    </row>
    <row r="484" ht="14.25" customHeight="1">
      <c r="T484" s="3"/>
      <c r="AA484" s="4"/>
      <c r="AB484" s="4"/>
      <c r="AC484" s="3"/>
      <c r="AK484" s="4"/>
      <c r="AL484" s="3"/>
      <c r="AS484" s="4"/>
      <c r="AT484" s="4"/>
      <c r="AU484" s="3"/>
      <c r="BB484" s="4"/>
      <c r="BC484" s="3"/>
      <c r="BJ484" s="4"/>
      <c r="BK484" s="3"/>
      <c r="BR484" s="4"/>
      <c r="BS484" s="3"/>
      <c r="BZ484" s="4"/>
    </row>
    <row r="485" ht="14.25" customHeight="1">
      <c r="T485" s="3"/>
      <c r="AA485" s="4"/>
      <c r="AB485" s="4"/>
      <c r="AC485" s="3"/>
      <c r="AK485" s="4"/>
      <c r="AL485" s="3"/>
      <c r="AS485" s="4"/>
      <c r="AT485" s="4"/>
      <c r="AU485" s="3"/>
      <c r="BB485" s="4"/>
      <c r="BC485" s="3"/>
      <c r="BJ485" s="4"/>
      <c r="BK485" s="3"/>
      <c r="BR485" s="4"/>
      <c r="BS485" s="3"/>
      <c r="BZ485" s="4"/>
    </row>
    <row r="486" ht="14.25" customHeight="1">
      <c r="T486" s="3"/>
      <c r="AA486" s="4"/>
      <c r="AB486" s="4"/>
      <c r="AC486" s="3"/>
      <c r="AK486" s="4"/>
      <c r="AL486" s="3"/>
      <c r="AS486" s="4"/>
      <c r="AT486" s="4"/>
      <c r="AU486" s="3"/>
      <c r="BB486" s="4"/>
      <c r="BC486" s="3"/>
      <c r="BJ486" s="4"/>
      <c r="BK486" s="3"/>
      <c r="BR486" s="4"/>
      <c r="BS486" s="3"/>
      <c r="BZ486" s="4"/>
    </row>
    <row r="487" ht="14.25" customHeight="1">
      <c r="T487" s="3"/>
      <c r="AA487" s="4"/>
      <c r="AB487" s="4"/>
      <c r="AC487" s="3"/>
      <c r="AK487" s="4"/>
      <c r="AL487" s="3"/>
      <c r="AS487" s="4"/>
      <c r="AT487" s="4"/>
      <c r="AU487" s="3"/>
      <c r="BB487" s="4"/>
      <c r="BC487" s="3"/>
      <c r="BJ487" s="4"/>
      <c r="BK487" s="3"/>
      <c r="BR487" s="4"/>
      <c r="BS487" s="3"/>
      <c r="BZ487" s="4"/>
    </row>
    <row r="488" ht="14.25" customHeight="1">
      <c r="T488" s="3"/>
      <c r="AA488" s="4"/>
      <c r="AB488" s="4"/>
      <c r="AC488" s="3"/>
      <c r="AK488" s="4"/>
      <c r="AL488" s="3"/>
      <c r="AS488" s="4"/>
      <c r="AT488" s="4"/>
      <c r="AU488" s="3"/>
      <c r="BB488" s="4"/>
      <c r="BC488" s="3"/>
      <c r="BJ488" s="4"/>
      <c r="BK488" s="3"/>
      <c r="BR488" s="4"/>
      <c r="BS488" s="3"/>
      <c r="BZ488" s="4"/>
    </row>
    <row r="489" ht="14.25" customHeight="1">
      <c r="T489" s="3"/>
      <c r="AA489" s="4"/>
      <c r="AB489" s="4"/>
      <c r="AC489" s="3"/>
      <c r="AK489" s="4"/>
      <c r="AL489" s="3"/>
      <c r="AS489" s="4"/>
      <c r="AT489" s="4"/>
      <c r="AU489" s="3"/>
      <c r="BB489" s="4"/>
      <c r="BC489" s="3"/>
      <c r="BJ489" s="4"/>
      <c r="BK489" s="3"/>
      <c r="BR489" s="4"/>
      <c r="BS489" s="3"/>
      <c r="BZ489" s="4"/>
    </row>
    <row r="490" ht="14.25" customHeight="1">
      <c r="T490" s="3"/>
      <c r="AA490" s="4"/>
      <c r="AB490" s="4"/>
      <c r="AC490" s="3"/>
      <c r="AK490" s="4"/>
      <c r="AL490" s="3"/>
      <c r="AS490" s="4"/>
      <c r="AT490" s="4"/>
      <c r="AU490" s="3"/>
      <c r="BB490" s="4"/>
      <c r="BC490" s="3"/>
      <c r="BJ490" s="4"/>
      <c r="BK490" s="3"/>
      <c r="BR490" s="4"/>
      <c r="BS490" s="3"/>
      <c r="BZ490" s="4"/>
    </row>
    <row r="491" ht="14.25" customHeight="1">
      <c r="T491" s="3"/>
      <c r="AA491" s="4"/>
      <c r="AB491" s="4"/>
      <c r="AC491" s="3"/>
      <c r="AK491" s="4"/>
      <c r="AL491" s="3"/>
      <c r="AS491" s="4"/>
      <c r="AT491" s="4"/>
      <c r="AU491" s="3"/>
      <c r="BB491" s="4"/>
      <c r="BC491" s="3"/>
      <c r="BJ491" s="4"/>
      <c r="BK491" s="3"/>
      <c r="BR491" s="4"/>
      <c r="BS491" s="3"/>
      <c r="BZ491" s="4"/>
    </row>
    <row r="492" ht="14.25" customHeight="1">
      <c r="T492" s="3"/>
      <c r="AA492" s="4"/>
      <c r="AB492" s="4"/>
      <c r="AC492" s="3"/>
      <c r="AK492" s="4"/>
      <c r="AL492" s="3"/>
      <c r="AS492" s="4"/>
      <c r="AT492" s="4"/>
      <c r="AU492" s="3"/>
      <c r="BB492" s="4"/>
      <c r="BC492" s="3"/>
      <c r="BJ492" s="4"/>
      <c r="BK492" s="3"/>
      <c r="BR492" s="4"/>
      <c r="BS492" s="3"/>
      <c r="BZ492" s="4"/>
    </row>
    <row r="493" ht="14.25" customHeight="1">
      <c r="T493" s="3"/>
      <c r="AA493" s="4"/>
      <c r="AB493" s="4"/>
      <c r="AC493" s="3"/>
      <c r="AK493" s="4"/>
      <c r="AL493" s="3"/>
      <c r="AS493" s="4"/>
      <c r="AT493" s="4"/>
      <c r="AU493" s="3"/>
      <c r="BB493" s="4"/>
      <c r="BC493" s="3"/>
      <c r="BJ493" s="4"/>
      <c r="BK493" s="3"/>
      <c r="BR493" s="4"/>
      <c r="BS493" s="3"/>
      <c r="BZ493" s="4"/>
    </row>
    <row r="494" ht="14.25" customHeight="1">
      <c r="T494" s="3"/>
      <c r="AA494" s="4"/>
      <c r="AB494" s="4"/>
      <c r="AC494" s="3"/>
      <c r="AK494" s="4"/>
      <c r="AL494" s="3"/>
      <c r="AS494" s="4"/>
      <c r="AT494" s="4"/>
      <c r="AU494" s="3"/>
      <c r="BB494" s="4"/>
      <c r="BC494" s="3"/>
      <c r="BJ494" s="4"/>
      <c r="BK494" s="3"/>
      <c r="BR494" s="4"/>
      <c r="BS494" s="3"/>
      <c r="BZ494" s="4"/>
    </row>
    <row r="495" ht="14.25" customHeight="1">
      <c r="T495" s="3"/>
      <c r="AA495" s="4"/>
      <c r="AB495" s="4"/>
      <c r="AC495" s="3"/>
      <c r="AK495" s="4"/>
      <c r="AL495" s="3"/>
      <c r="AS495" s="4"/>
      <c r="AT495" s="4"/>
      <c r="AU495" s="3"/>
      <c r="BB495" s="4"/>
      <c r="BC495" s="3"/>
      <c r="BJ495" s="4"/>
      <c r="BK495" s="3"/>
      <c r="BR495" s="4"/>
      <c r="BS495" s="3"/>
      <c r="BZ495" s="4"/>
    </row>
    <row r="496" ht="14.25" customHeight="1">
      <c r="T496" s="3"/>
      <c r="AA496" s="4"/>
      <c r="AB496" s="4"/>
      <c r="AC496" s="3"/>
      <c r="AK496" s="4"/>
      <c r="AL496" s="3"/>
      <c r="AS496" s="4"/>
      <c r="AT496" s="4"/>
      <c r="AU496" s="3"/>
      <c r="BB496" s="4"/>
      <c r="BC496" s="3"/>
      <c r="BJ496" s="4"/>
      <c r="BK496" s="3"/>
      <c r="BR496" s="4"/>
      <c r="BS496" s="3"/>
      <c r="BZ496" s="4"/>
    </row>
    <row r="497" ht="14.25" customHeight="1">
      <c r="T497" s="3"/>
      <c r="AA497" s="4"/>
      <c r="AB497" s="4"/>
      <c r="AC497" s="3"/>
      <c r="AK497" s="4"/>
      <c r="AL497" s="3"/>
      <c r="AS497" s="4"/>
      <c r="AT497" s="4"/>
      <c r="AU497" s="3"/>
      <c r="BB497" s="4"/>
      <c r="BC497" s="3"/>
      <c r="BJ497" s="4"/>
      <c r="BK497" s="3"/>
      <c r="BR497" s="4"/>
      <c r="BS497" s="3"/>
      <c r="BZ497" s="4"/>
    </row>
    <row r="498" ht="14.25" customHeight="1">
      <c r="T498" s="3"/>
      <c r="AA498" s="4"/>
      <c r="AB498" s="4"/>
      <c r="AC498" s="3"/>
      <c r="AK498" s="4"/>
      <c r="AL498" s="3"/>
      <c r="AS498" s="4"/>
      <c r="AT498" s="4"/>
      <c r="AU498" s="3"/>
      <c r="BB498" s="4"/>
      <c r="BC498" s="3"/>
      <c r="BJ498" s="4"/>
      <c r="BK498" s="3"/>
      <c r="BR498" s="4"/>
      <c r="BS498" s="3"/>
      <c r="BZ498" s="4"/>
    </row>
    <row r="499" ht="14.25" customHeight="1">
      <c r="T499" s="3"/>
      <c r="AA499" s="4"/>
      <c r="AB499" s="4"/>
      <c r="AC499" s="3"/>
      <c r="AK499" s="4"/>
      <c r="AL499" s="3"/>
      <c r="AS499" s="4"/>
      <c r="AT499" s="4"/>
      <c r="AU499" s="3"/>
      <c r="BB499" s="4"/>
      <c r="BC499" s="3"/>
      <c r="BJ499" s="4"/>
      <c r="BK499" s="3"/>
      <c r="BR499" s="4"/>
      <c r="BS499" s="3"/>
      <c r="BZ499" s="4"/>
    </row>
    <row r="500" ht="14.25" customHeight="1">
      <c r="T500" s="3"/>
      <c r="AA500" s="4"/>
      <c r="AB500" s="4"/>
      <c r="AC500" s="3"/>
      <c r="AK500" s="4"/>
      <c r="AL500" s="3"/>
      <c r="AS500" s="4"/>
      <c r="AT500" s="4"/>
      <c r="AU500" s="3"/>
      <c r="BB500" s="4"/>
      <c r="BC500" s="3"/>
      <c r="BJ500" s="4"/>
      <c r="BK500" s="3"/>
      <c r="BR500" s="4"/>
      <c r="BS500" s="3"/>
      <c r="BZ500" s="4"/>
    </row>
    <row r="501" ht="14.25" customHeight="1">
      <c r="T501" s="3"/>
      <c r="AA501" s="4"/>
      <c r="AB501" s="4"/>
      <c r="AC501" s="3"/>
      <c r="AK501" s="4"/>
      <c r="AL501" s="3"/>
      <c r="AS501" s="4"/>
      <c r="AT501" s="4"/>
      <c r="AU501" s="3"/>
      <c r="BB501" s="4"/>
      <c r="BC501" s="3"/>
      <c r="BJ501" s="4"/>
      <c r="BK501" s="3"/>
      <c r="BR501" s="4"/>
      <c r="BS501" s="3"/>
      <c r="BZ501" s="4"/>
    </row>
    <row r="502" ht="14.25" customHeight="1">
      <c r="T502" s="3"/>
      <c r="AA502" s="4"/>
      <c r="AB502" s="4"/>
      <c r="AC502" s="3"/>
      <c r="AK502" s="4"/>
      <c r="AL502" s="3"/>
      <c r="AS502" s="4"/>
      <c r="AT502" s="4"/>
      <c r="AU502" s="3"/>
      <c r="BB502" s="4"/>
      <c r="BC502" s="3"/>
      <c r="BJ502" s="4"/>
      <c r="BK502" s="3"/>
      <c r="BR502" s="4"/>
      <c r="BS502" s="3"/>
      <c r="BZ502" s="4"/>
    </row>
    <row r="503" ht="14.25" customHeight="1">
      <c r="T503" s="3"/>
      <c r="AA503" s="4"/>
      <c r="AB503" s="4"/>
      <c r="AC503" s="3"/>
      <c r="AK503" s="4"/>
      <c r="AL503" s="3"/>
      <c r="AS503" s="4"/>
      <c r="AT503" s="4"/>
      <c r="AU503" s="3"/>
      <c r="BB503" s="4"/>
      <c r="BC503" s="3"/>
      <c r="BJ503" s="4"/>
      <c r="BK503" s="3"/>
      <c r="BR503" s="4"/>
      <c r="BS503" s="3"/>
      <c r="BZ503" s="4"/>
    </row>
    <row r="504" ht="14.25" customHeight="1">
      <c r="T504" s="3"/>
      <c r="AA504" s="4"/>
      <c r="AB504" s="4"/>
      <c r="AC504" s="3"/>
      <c r="AK504" s="4"/>
      <c r="AL504" s="3"/>
      <c r="AS504" s="4"/>
      <c r="AT504" s="4"/>
      <c r="AU504" s="3"/>
      <c r="BB504" s="4"/>
      <c r="BC504" s="3"/>
      <c r="BJ504" s="4"/>
      <c r="BK504" s="3"/>
      <c r="BR504" s="4"/>
      <c r="BS504" s="3"/>
      <c r="BZ504" s="4"/>
    </row>
    <row r="505" ht="14.25" customHeight="1">
      <c r="T505" s="3"/>
      <c r="AA505" s="4"/>
      <c r="AB505" s="4"/>
      <c r="AC505" s="3"/>
      <c r="AK505" s="4"/>
      <c r="AL505" s="3"/>
      <c r="AS505" s="4"/>
      <c r="AT505" s="4"/>
      <c r="AU505" s="3"/>
      <c r="BB505" s="4"/>
      <c r="BC505" s="3"/>
      <c r="BJ505" s="4"/>
      <c r="BK505" s="3"/>
      <c r="BR505" s="4"/>
      <c r="BS505" s="3"/>
      <c r="BZ505" s="4"/>
    </row>
    <row r="506" ht="14.25" customHeight="1">
      <c r="T506" s="3"/>
      <c r="AA506" s="4"/>
      <c r="AB506" s="4"/>
      <c r="AC506" s="3"/>
      <c r="AK506" s="4"/>
      <c r="AL506" s="3"/>
      <c r="AS506" s="4"/>
      <c r="AT506" s="4"/>
      <c r="AU506" s="3"/>
      <c r="BB506" s="4"/>
      <c r="BC506" s="3"/>
      <c r="BJ506" s="4"/>
      <c r="BK506" s="3"/>
      <c r="BR506" s="4"/>
      <c r="BS506" s="3"/>
      <c r="BZ506" s="4"/>
    </row>
    <row r="507" ht="14.25" customHeight="1">
      <c r="T507" s="3"/>
      <c r="AA507" s="4"/>
      <c r="AB507" s="4"/>
      <c r="AC507" s="3"/>
      <c r="AK507" s="4"/>
      <c r="AL507" s="3"/>
      <c r="AS507" s="4"/>
      <c r="AT507" s="4"/>
      <c r="AU507" s="3"/>
      <c r="BB507" s="4"/>
      <c r="BC507" s="3"/>
      <c r="BJ507" s="4"/>
      <c r="BK507" s="3"/>
      <c r="BR507" s="4"/>
      <c r="BS507" s="3"/>
      <c r="BZ507" s="4"/>
    </row>
    <row r="508" ht="14.25" customHeight="1">
      <c r="T508" s="3"/>
      <c r="AA508" s="4"/>
      <c r="AB508" s="4"/>
      <c r="AC508" s="3"/>
      <c r="AK508" s="4"/>
      <c r="AL508" s="3"/>
      <c r="AS508" s="4"/>
      <c r="AT508" s="4"/>
      <c r="AU508" s="3"/>
      <c r="BB508" s="4"/>
      <c r="BC508" s="3"/>
      <c r="BJ508" s="4"/>
      <c r="BK508" s="3"/>
      <c r="BR508" s="4"/>
      <c r="BS508" s="3"/>
      <c r="BZ508" s="4"/>
    </row>
    <row r="509" ht="14.25" customHeight="1">
      <c r="T509" s="3"/>
      <c r="AA509" s="4"/>
      <c r="AB509" s="4"/>
      <c r="AC509" s="3"/>
      <c r="AK509" s="4"/>
      <c r="AL509" s="3"/>
      <c r="AS509" s="4"/>
      <c r="AT509" s="4"/>
      <c r="AU509" s="3"/>
      <c r="BB509" s="4"/>
      <c r="BC509" s="3"/>
      <c r="BJ509" s="4"/>
      <c r="BK509" s="3"/>
      <c r="BR509" s="4"/>
      <c r="BS509" s="3"/>
      <c r="BZ509" s="4"/>
    </row>
    <row r="510" ht="14.25" customHeight="1">
      <c r="T510" s="3"/>
      <c r="AA510" s="4"/>
      <c r="AB510" s="4"/>
      <c r="AC510" s="3"/>
      <c r="AK510" s="4"/>
      <c r="AL510" s="3"/>
      <c r="AS510" s="4"/>
      <c r="AT510" s="4"/>
      <c r="AU510" s="3"/>
      <c r="BB510" s="4"/>
      <c r="BC510" s="3"/>
      <c r="BJ510" s="4"/>
      <c r="BK510" s="3"/>
      <c r="BR510" s="4"/>
      <c r="BS510" s="3"/>
      <c r="BZ510" s="4"/>
    </row>
    <row r="511" ht="14.25" customHeight="1">
      <c r="T511" s="3"/>
      <c r="AA511" s="4"/>
      <c r="AB511" s="4"/>
      <c r="AC511" s="3"/>
      <c r="AK511" s="4"/>
      <c r="AL511" s="3"/>
      <c r="AS511" s="4"/>
      <c r="AT511" s="4"/>
      <c r="AU511" s="3"/>
      <c r="BB511" s="4"/>
      <c r="BC511" s="3"/>
      <c r="BJ511" s="4"/>
      <c r="BK511" s="3"/>
      <c r="BR511" s="4"/>
      <c r="BS511" s="3"/>
      <c r="BZ511" s="4"/>
    </row>
    <row r="512" ht="14.25" customHeight="1">
      <c r="T512" s="3"/>
      <c r="AA512" s="4"/>
      <c r="AB512" s="4"/>
      <c r="AC512" s="3"/>
      <c r="AK512" s="4"/>
      <c r="AL512" s="3"/>
      <c r="AS512" s="4"/>
      <c r="AT512" s="4"/>
      <c r="AU512" s="3"/>
      <c r="BB512" s="4"/>
      <c r="BC512" s="3"/>
      <c r="BJ512" s="4"/>
      <c r="BK512" s="3"/>
      <c r="BR512" s="4"/>
      <c r="BS512" s="3"/>
      <c r="BZ512" s="4"/>
    </row>
    <row r="513" ht="14.25" customHeight="1">
      <c r="T513" s="3"/>
      <c r="AA513" s="4"/>
      <c r="AB513" s="4"/>
      <c r="AC513" s="3"/>
      <c r="AK513" s="4"/>
      <c r="AL513" s="3"/>
      <c r="AS513" s="4"/>
      <c r="AT513" s="4"/>
      <c r="AU513" s="3"/>
      <c r="BB513" s="4"/>
      <c r="BC513" s="3"/>
      <c r="BJ513" s="4"/>
      <c r="BK513" s="3"/>
      <c r="BR513" s="4"/>
      <c r="BS513" s="3"/>
      <c r="BZ513" s="4"/>
    </row>
    <row r="514" ht="14.25" customHeight="1">
      <c r="T514" s="3"/>
      <c r="AA514" s="4"/>
      <c r="AB514" s="4"/>
      <c r="AC514" s="3"/>
      <c r="AK514" s="4"/>
      <c r="AL514" s="3"/>
      <c r="AS514" s="4"/>
      <c r="AT514" s="4"/>
      <c r="AU514" s="3"/>
      <c r="BB514" s="4"/>
      <c r="BC514" s="3"/>
      <c r="BJ514" s="4"/>
      <c r="BK514" s="3"/>
      <c r="BR514" s="4"/>
      <c r="BS514" s="3"/>
      <c r="BZ514" s="4"/>
    </row>
    <row r="515" ht="14.25" customHeight="1">
      <c r="T515" s="3"/>
      <c r="AA515" s="4"/>
      <c r="AB515" s="4"/>
      <c r="AC515" s="3"/>
      <c r="AK515" s="4"/>
      <c r="AL515" s="3"/>
      <c r="AS515" s="4"/>
      <c r="AT515" s="4"/>
      <c r="AU515" s="3"/>
      <c r="BB515" s="4"/>
      <c r="BC515" s="3"/>
      <c r="BJ515" s="4"/>
      <c r="BK515" s="3"/>
      <c r="BR515" s="4"/>
      <c r="BS515" s="3"/>
      <c r="BZ515" s="4"/>
    </row>
    <row r="516" ht="14.25" customHeight="1">
      <c r="T516" s="3"/>
      <c r="AA516" s="4"/>
      <c r="AB516" s="4"/>
      <c r="AC516" s="3"/>
      <c r="AK516" s="4"/>
      <c r="AL516" s="3"/>
      <c r="AS516" s="4"/>
      <c r="AT516" s="4"/>
      <c r="AU516" s="3"/>
      <c r="BB516" s="4"/>
      <c r="BC516" s="3"/>
      <c r="BJ516" s="4"/>
      <c r="BK516" s="3"/>
      <c r="BR516" s="4"/>
      <c r="BS516" s="3"/>
      <c r="BZ516" s="4"/>
    </row>
    <row r="517" ht="14.25" customHeight="1">
      <c r="T517" s="3"/>
      <c r="AA517" s="4"/>
      <c r="AB517" s="4"/>
      <c r="AC517" s="3"/>
      <c r="AK517" s="4"/>
      <c r="AL517" s="3"/>
      <c r="AS517" s="4"/>
      <c r="AT517" s="4"/>
      <c r="AU517" s="3"/>
      <c r="BB517" s="4"/>
      <c r="BC517" s="3"/>
      <c r="BJ517" s="4"/>
      <c r="BK517" s="3"/>
      <c r="BR517" s="4"/>
      <c r="BS517" s="3"/>
      <c r="BZ517" s="4"/>
    </row>
    <row r="518" ht="14.25" customHeight="1">
      <c r="T518" s="3"/>
      <c r="AA518" s="4"/>
      <c r="AB518" s="4"/>
      <c r="AC518" s="3"/>
      <c r="AK518" s="4"/>
      <c r="AL518" s="3"/>
      <c r="AS518" s="4"/>
      <c r="AT518" s="4"/>
      <c r="AU518" s="3"/>
      <c r="BB518" s="4"/>
      <c r="BC518" s="3"/>
      <c r="BJ518" s="4"/>
      <c r="BK518" s="3"/>
      <c r="BR518" s="4"/>
      <c r="BS518" s="3"/>
      <c r="BZ518" s="4"/>
    </row>
    <row r="519" ht="14.25" customHeight="1">
      <c r="T519" s="3"/>
      <c r="AA519" s="4"/>
      <c r="AB519" s="4"/>
      <c r="AC519" s="3"/>
      <c r="AK519" s="4"/>
      <c r="AL519" s="3"/>
      <c r="AS519" s="4"/>
      <c r="AT519" s="4"/>
      <c r="AU519" s="3"/>
      <c r="BB519" s="4"/>
      <c r="BC519" s="3"/>
      <c r="BJ519" s="4"/>
      <c r="BK519" s="3"/>
      <c r="BR519" s="4"/>
      <c r="BS519" s="3"/>
      <c r="BZ519" s="4"/>
    </row>
    <row r="520" ht="14.25" customHeight="1">
      <c r="T520" s="3"/>
      <c r="AA520" s="4"/>
      <c r="AB520" s="4"/>
      <c r="AC520" s="3"/>
      <c r="AK520" s="4"/>
      <c r="AL520" s="3"/>
      <c r="AS520" s="4"/>
      <c r="AT520" s="4"/>
      <c r="AU520" s="3"/>
      <c r="BB520" s="4"/>
      <c r="BC520" s="3"/>
      <c r="BJ520" s="4"/>
      <c r="BK520" s="3"/>
      <c r="BR520" s="4"/>
      <c r="BS520" s="3"/>
      <c r="BZ520" s="4"/>
    </row>
    <row r="521" ht="14.25" customHeight="1">
      <c r="T521" s="3"/>
      <c r="AA521" s="4"/>
      <c r="AB521" s="4"/>
      <c r="AC521" s="3"/>
      <c r="AK521" s="4"/>
      <c r="AL521" s="3"/>
      <c r="AS521" s="4"/>
      <c r="AT521" s="4"/>
      <c r="AU521" s="3"/>
      <c r="BB521" s="4"/>
      <c r="BC521" s="3"/>
      <c r="BJ521" s="4"/>
      <c r="BK521" s="3"/>
      <c r="BR521" s="4"/>
      <c r="BS521" s="3"/>
      <c r="BZ521" s="4"/>
    </row>
    <row r="522" ht="14.25" customHeight="1">
      <c r="T522" s="3"/>
      <c r="AA522" s="4"/>
      <c r="AB522" s="4"/>
      <c r="AC522" s="3"/>
      <c r="AK522" s="4"/>
      <c r="AL522" s="3"/>
      <c r="AS522" s="4"/>
      <c r="AT522" s="4"/>
      <c r="AU522" s="3"/>
      <c r="BB522" s="4"/>
      <c r="BC522" s="3"/>
      <c r="BJ522" s="4"/>
      <c r="BK522" s="3"/>
      <c r="BR522" s="4"/>
      <c r="BS522" s="3"/>
      <c r="BZ522" s="4"/>
    </row>
    <row r="523" ht="14.25" customHeight="1">
      <c r="T523" s="3"/>
      <c r="AA523" s="4"/>
      <c r="AB523" s="4"/>
      <c r="AC523" s="3"/>
      <c r="AK523" s="4"/>
      <c r="AL523" s="3"/>
      <c r="AS523" s="4"/>
      <c r="AT523" s="4"/>
      <c r="AU523" s="3"/>
      <c r="BB523" s="4"/>
      <c r="BC523" s="3"/>
      <c r="BJ523" s="4"/>
      <c r="BK523" s="3"/>
      <c r="BR523" s="4"/>
      <c r="BS523" s="3"/>
      <c r="BZ523" s="4"/>
    </row>
    <row r="524" ht="14.25" customHeight="1">
      <c r="T524" s="3"/>
      <c r="AA524" s="4"/>
      <c r="AB524" s="4"/>
      <c r="AC524" s="3"/>
      <c r="AK524" s="4"/>
      <c r="AL524" s="3"/>
      <c r="AS524" s="4"/>
      <c r="AT524" s="4"/>
      <c r="AU524" s="3"/>
      <c r="BB524" s="4"/>
      <c r="BC524" s="3"/>
      <c r="BJ524" s="4"/>
      <c r="BK524" s="3"/>
      <c r="BR524" s="4"/>
      <c r="BS524" s="3"/>
      <c r="BZ524" s="4"/>
    </row>
    <row r="525" ht="14.25" customHeight="1">
      <c r="T525" s="3"/>
      <c r="AA525" s="4"/>
      <c r="AB525" s="4"/>
      <c r="AC525" s="3"/>
      <c r="AK525" s="4"/>
      <c r="AL525" s="3"/>
      <c r="AS525" s="4"/>
      <c r="AT525" s="4"/>
      <c r="AU525" s="3"/>
      <c r="BB525" s="4"/>
      <c r="BC525" s="3"/>
      <c r="BJ525" s="4"/>
      <c r="BK525" s="3"/>
      <c r="BR525" s="4"/>
      <c r="BS525" s="3"/>
      <c r="BZ525" s="4"/>
    </row>
    <row r="526" ht="14.25" customHeight="1">
      <c r="T526" s="3"/>
      <c r="AA526" s="4"/>
      <c r="AB526" s="4"/>
      <c r="AC526" s="3"/>
      <c r="AK526" s="4"/>
      <c r="AL526" s="3"/>
      <c r="AS526" s="4"/>
      <c r="AT526" s="4"/>
      <c r="AU526" s="3"/>
      <c r="BB526" s="4"/>
      <c r="BC526" s="3"/>
      <c r="BJ526" s="4"/>
      <c r="BK526" s="3"/>
      <c r="BR526" s="4"/>
      <c r="BS526" s="3"/>
      <c r="BZ526" s="4"/>
    </row>
    <row r="527" ht="14.25" customHeight="1">
      <c r="T527" s="3"/>
      <c r="AA527" s="4"/>
      <c r="AB527" s="4"/>
      <c r="AC527" s="3"/>
      <c r="AK527" s="4"/>
      <c r="AL527" s="3"/>
      <c r="AS527" s="4"/>
      <c r="AT527" s="4"/>
      <c r="AU527" s="3"/>
      <c r="BB527" s="4"/>
      <c r="BC527" s="3"/>
      <c r="BJ527" s="4"/>
      <c r="BK527" s="3"/>
      <c r="BR527" s="4"/>
      <c r="BS527" s="3"/>
      <c r="BZ527" s="4"/>
    </row>
    <row r="528" ht="14.25" customHeight="1">
      <c r="T528" s="3"/>
      <c r="AA528" s="4"/>
      <c r="AB528" s="4"/>
      <c r="AC528" s="3"/>
      <c r="AK528" s="4"/>
      <c r="AL528" s="3"/>
      <c r="AS528" s="4"/>
      <c r="AT528" s="4"/>
      <c r="AU528" s="3"/>
      <c r="BB528" s="4"/>
      <c r="BC528" s="3"/>
      <c r="BJ528" s="4"/>
      <c r="BK528" s="3"/>
      <c r="BR528" s="4"/>
      <c r="BS528" s="3"/>
      <c r="BZ528" s="4"/>
    </row>
    <row r="529" ht="14.25" customHeight="1">
      <c r="T529" s="3"/>
      <c r="AA529" s="4"/>
      <c r="AB529" s="4"/>
      <c r="AC529" s="3"/>
      <c r="AK529" s="4"/>
      <c r="AL529" s="3"/>
      <c r="AS529" s="4"/>
      <c r="AT529" s="4"/>
      <c r="AU529" s="3"/>
      <c r="BB529" s="4"/>
      <c r="BC529" s="3"/>
      <c r="BJ529" s="4"/>
      <c r="BK529" s="3"/>
      <c r="BR529" s="4"/>
      <c r="BS529" s="3"/>
      <c r="BZ529" s="4"/>
    </row>
    <row r="530" ht="14.25" customHeight="1">
      <c r="T530" s="3"/>
      <c r="AA530" s="4"/>
      <c r="AB530" s="4"/>
      <c r="AC530" s="3"/>
      <c r="AK530" s="4"/>
      <c r="AL530" s="3"/>
      <c r="AS530" s="4"/>
      <c r="AT530" s="4"/>
      <c r="AU530" s="3"/>
      <c r="BB530" s="4"/>
      <c r="BC530" s="3"/>
      <c r="BJ530" s="4"/>
      <c r="BK530" s="3"/>
      <c r="BR530" s="4"/>
      <c r="BS530" s="3"/>
      <c r="BZ530" s="4"/>
    </row>
    <row r="531" ht="14.25" customHeight="1">
      <c r="T531" s="3"/>
      <c r="AA531" s="4"/>
      <c r="AB531" s="4"/>
      <c r="AC531" s="3"/>
      <c r="AK531" s="4"/>
      <c r="AL531" s="3"/>
      <c r="AS531" s="4"/>
      <c r="AT531" s="4"/>
      <c r="AU531" s="3"/>
      <c r="BB531" s="4"/>
      <c r="BC531" s="3"/>
      <c r="BJ531" s="4"/>
      <c r="BK531" s="3"/>
      <c r="BR531" s="4"/>
      <c r="BS531" s="3"/>
      <c r="BZ531" s="4"/>
    </row>
    <row r="532" ht="14.25" customHeight="1">
      <c r="T532" s="3"/>
      <c r="AA532" s="4"/>
      <c r="AB532" s="4"/>
      <c r="AC532" s="3"/>
      <c r="AK532" s="4"/>
      <c r="AL532" s="3"/>
      <c r="AS532" s="4"/>
      <c r="AT532" s="4"/>
      <c r="AU532" s="3"/>
      <c r="BB532" s="4"/>
      <c r="BC532" s="3"/>
      <c r="BJ532" s="4"/>
      <c r="BK532" s="3"/>
      <c r="BR532" s="4"/>
      <c r="BS532" s="3"/>
      <c r="BZ532" s="4"/>
    </row>
    <row r="533" ht="14.25" customHeight="1">
      <c r="T533" s="3"/>
      <c r="AA533" s="4"/>
      <c r="AB533" s="4"/>
      <c r="AC533" s="3"/>
      <c r="AK533" s="4"/>
      <c r="AL533" s="3"/>
      <c r="AS533" s="4"/>
      <c r="AT533" s="4"/>
      <c r="AU533" s="3"/>
      <c r="BB533" s="4"/>
      <c r="BC533" s="3"/>
      <c r="BJ533" s="4"/>
      <c r="BK533" s="3"/>
      <c r="BR533" s="4"/>
      <c r="BS533" s="3"/>
      <c r="BZ533" s="4"/>
    </row>
    <row r="534" ht="14.25" customHeight="1">
      <c r="T534" s="3"/>
      <c r="AA534" s="4"/>
      <c r="AB534" s="4"/>
      <c r="AC534" s="3"/>
      <c r="AK534" s="4"/>
      <c r="AL534" s="3"/>
      <c r="AS534" s="4"/>
      <c r="AT534" s="4"/>
      <c r="AU534" s="3"/>
      <c r="BB534" s="4"/>
      <c r="BC534" s="3"/>
      <c r="BJ534" s="4"/>
      <c r="BK534" s="3"/>
      <c r="BR534" s="4"/>
      <c r="BS534" s="3"/>
      <c r="BZ534" s="4"/>
    </row>
    <row r="535" ht="14.25" customHeight="1">
      <c r="T535" s="3"/>
      <c r="AA535" s="4"/>
      <c r="AB535" s="4"/>
      <c r="AC535" s="3"/>
      <c r="AK535" s="4"/>
      <c r="AL535" s="3"/>
      <c r="AS535" s="4"/>
      <c r="AT535" s="4"/>
      <c r="AU535" s="3"/>
      <c r="BB535" s="4"/>
      <c r="BC535" s="3"/>
      <c r="BJ535" s="4"/>
      <c r="BK535" s="3"/>
      <c r="BR535" s="4"/>
      <c r="BS535" s="3"/>
      <c r="BZ535" s="4"/>
    </row>
    <row r="536" ht="14.25" customHeight="1">
      <c r="T536" s="3"/>
      <c r="AA536" s="4"/>
      <c r="AB536" s="4"/>
      <c r="AC536" s="3"/>
      <c r="AK536" s="4"/>
      <c r="AL536" s="3"/>
      <c r="AS536" s="4"/>
      <c r="AT536" s="4"/>
      <c r="AU536" s="3"/>
      <c r="BB536" s="4"/>
      <c r="BC536" s="3"/>
      <c r="BJ536" s="4"/>
      <c r="BK536" s="3"/>
      <c r="BR536" s="4"/>
      <c r="BS536" s="3"/>
      <c r="BZ536" s="4"/>
    </row>
    <row r="537" ht="14.25" customHeight="1">
      <c r="T537" s="3"/>
      <c r="AA537" s="4"/>
      <c r="AB537" s="4"/>
      <c r="AC537" s="3"/>
      <c r="AK537" s="4"/>
      <c r="AL537" s="3"/>
      <c r="AS537" s="4"/>
      <c r="AT537" s="4"/>
      <c r="AU537" s="3"/>
      <c r="BB537" s="4"/>
      <c r="BC537" s="3"/>
      <c r="BJ537" s="4"/>
      <c r="BK537" s="3"/>
      <c r="BR537" s="4"/>
      <c r="BS537" s="3"/>
      <c r="BZ537" s="4"/>
    </row>
    <row r="538" ht="14.25" customHeight="1">
      <c r="T538" s="3"/>
      <c r="AA538" s="4"/>
      <c r="AB538" s="4"/>
      <c r="AC538" s="3"/>
      <c r="AK538" s="4"/>
      <c r="AL538" s="3"/>
      <c r="AS538" s="4"/>
      <c r="AT538" s="4"/>
      <c r="AU538" s="3"/>
      <c r="BB538" s="4"/>
      <c r="BC538" s="3"/>
      <c r="BJ538" s="4"/>
      <c r="BK538" s="3"/>
      <c r="BR538" s="4"/>
      <c r="BS538" s="3"/>
      <c r="BZ538" s="4"/>
    </row>
    <row r="539" ht="14.25" customHeight="1">
      <c r="T539" s="3"/>
      <c r="AA539" s="4"/>
      <c r="AB539" s="4"/>
      <c r="AC539" s="3"/>
      <c r="AK539" s="4"/>
      <c r="AL539" s="3"/>
      <c r="AS539" s="4"/>
      <c r="AT539" s="4"/>
      <c r="AU539" s="3"/>
      <c r="BB539" s="4"/>
      <c r="BC539" s="3"/>
      <c r="BJ539" s="4"/>
      <c r="BK539" s="3"/>
      <c r="BR539" s="4"/>
      <c r="BS539" s="3"/>
      <c r="BZ539" s="4"/>
    </row>
    <row r="540" ht="14.25" customHeight="1">
      <c r="T540" s="3"/>
      <c r="AA540" s="4"/>
      <c r="AB540" s="4"/>
      <c r="AC540" s="3"/>
      <c r="AK540" s="4"/>
      <c r="AL540" s="3"/>
      <c r="AS540" s="4"/>
      <c r="AT540" s="4"/>
      <c r="AU540" s="3"/>
      <c r="BB540" s="4"/>
      <c r="BC540" s="3"/>
      <c r="BJ540" s="4"/>
      <c r="BK540" s="3"/>
      <c r="BR540" s="4"/>
      <c r="BS540" s="3"/>
      <c r="BZ540" s="4"/>
    </row>
    <row r="541" ht="14.25" customHeight="1">
      <c r="T541" s="3"/>
      <c r="AA541" s="4"/>
      <c r="AB541" s="4"/>
      <c r="AC541" s="3"/>
      <c r="AK541" s="4"/>
      <c r="AL541" s="3"/>
      <c r="AS541" s="4"/>
      <c r="AT541" s="4"/>
      <c r="AU541" s="3"/>
      <c r="BB541" s="4"/>
      <c r="BC541" s="3"/>
      <c r="BJ541" s="4"/>
      <c r="BK541" s="3"/>
      <c r="BR541" s="4"/>
      <c r="BS541" s="3"/>
      <c r="BZ541" s="4"/>
    </row>
    <row r="542" ht="14.25" customHeight="1">
      <c r="T542" s="3"/>
      <c r="AA542" s="4"/>
      <c r="AB542" s="4"/>
      <c r="AC542" s="3"/>
      <c r="AK542" s="4"/>
      <c r="AL542" s="3"/>
      <c r="AS542" s="4"/>
      <c r="AT542" s="4"/>
      <c r="AU542" s="3"/>
      <c r="BB542" s="4"/>
      <c r="BC542" s="3"/>
      <c r="BJ542" s="4"/>
      <c r="BK542" s="3"/>
      <c r="BR542" s="4"/>
      <c r="BS542" s="3"/>
      <c r="BZ542" s="4"/>
    </row>
    <row r="543" ht="14.25" customHeight="1">
      <c r="T543" s="3"/>
      <c r="AA543" s="4"/>
      <c r="AB543" s="4"/>
      <c r="AC543" s="3"/>
      <c r="AK543" s="4"/>
      <c r="AL543" s="3"/>
      <c r="AS543" s="4"/>
      <c r="AT543" s="4"/>
      <c r="AU543" s="3"/>
      <c r="BB543" s="4"/>
      <c r="BC543" s="3"/>
      <c r="BJ543" s="4"/>
      <c r="BK543" s="3"/>
      <c r="BR543" s="4"/>
      <c r="BS543" s="3"/>
      <c r="BZ543" s="4"/>
    </row>
    <row r="544" ht="14.25" customHeight="1">
      <c r="T544" s="3"/>
      <c r="AA544" s="4"/>
      <c r="AB544" s="4"/>
      <c r="AC544" s="3"/>
      <c r="AK544" s="4"/>
      <c r="AL544" s="3"/>
      <c r="AS544" s="4"/>
      <c r="AT544" s="4"/>
      <c r="AU544" s="3"/>
      <c r="BB544" s="4"/>
      <c r="BC544" s="3"/>
      <c r="BJ544" s="4"/>
      <c r="BK544" s="3"/>
      <c r="BR544" s="4"/>
      <c r="BS544" s="3"/>
      <c r="BZ544" s="4"/>
    </row>
    <row r="545" ht="14.25" customHeight="1">
      <c r="T545" s="3"/>
      <c r="AA545" s="4"/>
      <c r="AB545" s="4"/>
      <c r="AC545" s="3"/>
      <c r="AK545" s="4"/>
      <c r="AL545" s="3"/>
      <c r="AS545" s="4"/>
      <c r="AT545" s="4"/>
      <c r="AU545" s="3"/>
      <c r="BB545" s="4"/>
      <c r="BC545" s="3"/>
      <c r="BJ545" s="4"/>
      <c r="BK545" s="3"/>
      <c r="BR545" s="4"/>
      <c r="BS545" s="3"/>
      <c r="BZ545" s="4"/>
    </row>
    <row r="546" ht="14.25" customHeight="1">
      <c r="T546" s="3"/>
      <c r="AA546" s="4"/>
      <c r="AB546" s="4"/>
      <c r="AC546" s="3"/>
      <c r="AK546" s="4"/>
      <c r="AL546" s="3"/>
      <c r="AS546" s="4"/>
      <c r="AT546" s="4"/>
      <c r="AU546" s="3"/>
      <c r="BB546" s="4"/>
      <c r="BC546" s="3"/>
      <c r="BJ546" s="4"/>
      <c r="BK546" s="3"/>
      <c r="BR546" s="4"/>
      <c r="BS546" s="3"/>
      <c r="BZ546" s="4"/>
    </row>
    <row r="547" ht="14.25" customHeight="1">
      <c r="T547" s="3"/>
      <c r="AA547" s="4"/>
      <c r="AB547" s="4"/>
      <c r="AC547" s="3"/>
      <c r="AK547" s="4"/>
      <c r="AL547" s="3"/>
      <c r="AS547" s="4"/>
      <c r="AT547" s="4"/>
      <c r="AU547" s="3"/>
      <c r="BB547" s="4"/>
      <c r="BC547" s="3"/>
      <c r="BJ547" s="4"/>
      <c r="BK547" s="3"/>
      <c r="BR547" s="4"/>
      <c r="BS547" s="3"/>
      <c r="BZ547" s="4"/>
    </row>
    <row r="548" ht="14.25" customHeight="1">
      <c r="T548" s="3"/>
      <c r="AA548" s="4"/>
      <c r="AB548" s="4"/>
      <c r="AC548" s="3"/>
      <c r="AK548" s="4"/>
      <c r="AL548" s="3"/>
      <c r="AS548" s="4"/>
      <c r="AT548" s="4"/>
      <c r="AU548" s="3"/>
      <c r="BB548" s="4"/>
      <c r="BC548" s="3"/>
      <c r="BJ548" s="4"/>
      <c r="BK548" s="3"/>
      <c r="BR548" s="4"/>
      <c r="BS548" s="3"/>
      <c r="BZ548" s="4"/>
    </row>
    <row r="549" ht="14.25" customHeight="1">
      <c r="T549" s="3"/>
      <c r="AA549" s="4"/>
      <c r="AB549" s="4"/>
      <c r="AC549" s="3"/>
      <c r="AK549" s="4"/>
      <c r="AL549" s="3"/>
      <c r="AS549" s="4"/>
      <c r="AT549" s="4"/>
      <c r="AU549" s="3"/>
      <c r="BB549" s="4"/>
      <c r="BC549" s="3"/>
      <c r="BJ549" s="4"/>
      <c r="BK549" s="3"/>
      <c r="BR549" s="4"/>
      <c r="BS549" s="3"/>
      <c r="BZ549" s="4"/>
    </row>
    <row r="550" ht="14.25" customHeight="1">
      <c r="T550" s="3"/>
      <c r="AA550" s="4"/>
      <c r="AB550" s="4"/>
      <c r="AC550" s="3"/>
      <c r="AK550" s="4"/>
      <c r="AL550" s="3"/>
      <c r="AS550" s="4"/>
      <c r="AT550" s="4"/>
      <c r="AU550" s="3"/>
      <c r="BB550" s="4"/>
      <c r="BC550" s="3"/>
      <c r="BJ550" s="4"/>
      <c r="BK550" s="3"/>
      <c r="BR550" s="4"/>
      <c r="BS550" s="3"/>
      <c r="BZ550" s="4"/>
    </row>
    <row r="551" ht="14.25" customHeight="1">
      <c r="T551" s="3"/>
      <c r="AA551" s="4"/>
      <c r="AB551" s="4"/>
      <c r="AC551" s="3"/>
      <c r="AK551" s="4"/>
      <c r="AL551" s="3"/>
      <c r="AS551" s="4"/>
      <c r="AT551" s="4"/>
      <c r="AU551" s="3"/>
      <c r="BB551" s="4"/>
      <c r="BC551" s="3"/>
      <c r="BJ551" s="4"/>
      <c r="BK551" s="3"/>
      <c r="BR551" s="4"/>
      <c r="BS551" s="3"/>
      <c r="BZ551" s="4"/>
    </row>
    <row r="552" ht="14.25" customHeight="1">
      <c r="T552" s="3"/>
      <c r="AA552" s="4"/>
      <c r="AB552" s="4"/>
      <c r="AC552" s="3"/>
      <c r="AK552" s="4"/>
      <c r="AL552" s="3"/>
      <c r="AS552" s="4"/>
      <c r="AT552" s="4"/>
      <c r="AU552" s="3"/>
      <c r="BB552" s="4"/>
      <c r="BC552" s="3"/>
      <c r="BJ552" s="4"/>
      <c r="BK552" s="3"/>
      <c r="BR552" s="4"/>
      <c r="BS552" s="3"/>
      <c r="BZ552" s="4"/>
    </row>
    <row r="553" ht="14.25" customHeight="1">
      <c r="T553" s="3"/>
      <c r="AA553" s="4"/>
      <c r="AB553" s="4"/>
      <c r="AC553" s="3"/>
      <c r="AK553" s="4"/>
      <c r="AL553" s="3"/>
      <c r="AS553" s="4"/>
      <c r="AT553" s="4"/>
      <c r="AU553" s="3"/>
      <c r="BB553" s="4"/>
      <c r="BC553" s="3"/>
      <c r="BJ553" s="4"/>
      <c r="BK553" s="3"/>
      <c r="BR553" s="4"/>
      <c r="BS553" s="3"/>
      <c r="BZ553" s="4"/>
    </row>
    <row r="554" ht="14.25" customHeight="1">
      <c r="T554" s="3"/>
      <c r="AA554" s="4"/>
      <c r="AB554" s="4"/>
      <c r="AC554" s="3"/>
      <c r="AK554" s="4"/>
      <c r="AL554" s="3"/>
      <c r="AS554" s="4"/>
      <c r="AT554" s="4"/>
      <c r="AU554" s="3"/>
      <c r="BB554" s="4"/>
      <c r="BC554" s="3"/>
      <c r="BJ554" s="4"/>
      <c r="BK554" s="3"/>
      <c r="BR554" s="4"/>
      <c r="BS554" s="3"/>
      <c r="BZ554" s="4"/>
    </row>
    <row r="555" ht="14.25" customHeight="1">
      <c r="T555" s="3"/>
      <c r="AA555" s="4"/>
      <c r="AB555" s="4"/>
      <c r="AC555" s="3"/>
      <c r="AK555" s="4"/>
      <c r="AL555" s="3"/>
      <c r="AS555" s="4"/>
      <c r="AT555" s="4"/>
      <c r="AU555" s="3"/>
      <c r="BB555" s="4"/>
      <c r="BC555" s="3"/>
      <c r="BJ555" s="4"/>
      <c r="BK555" s="3"/>
      <c r="BR555" s="4"/>
      <c r="BS555" s="3"/>
      <c r="BZ555" s="4"/>
    </row>
    <row r="556" ht="14.25" customHeight="1">
      <c r="T556" s="3"/>
      <c r="AA556" s="4"/>
      <c r="AB556" s="4"/>
      <c r="AC556" s="3"/>
      <c r="AK556" s="4"/>
      <c r="AL556" s="3"/>
      <c r="AS556" s="4"/>
      <c r="AT556" s="4"/>
      <c r="AU556" s="3"/>
      <c r="BB556" s="4"/>
      <c r="BC556" s="3"/>
      <c r="BJ556" s="4"/>
      <c r="BK556" s="3"/>
      <c r="BR556" s="4"/>
      <c r="BS556" s="3"/>
      <c r="BZ556" s="4"/>
    </row>
    <row r="557" ht="14.25" customHeight="1">
      <c r="T557" s="3"/>
      <c r="AA557" s="4"/>
      <c r="AB557" s="4"/>
      <c r="AC557" s="3"/>
      <c r="AK557" s="4"/>
      <c r="AL557" s="3"/>
      <c r="AS557" s="4"/>
      <c r="AT557" s="4"/>
      <c r="AU557" s="3"/>
      <c r="BB557" s="4"/>
      <c r="BC557" s="3"/>
      <c r="BJ557" s="4"/>
      <c r="BK557" s="3"/>
      <c r="BR557" s="4"/>
      <c r="BS557" s="3"/>
      <c r="BZ557" s="4"/>
    </row>
    <row r="558" ht="14.25" customHeight="1">
      <c r="T558" s="3"/>
      <c r="AA558" s="4"/>
      <c r="AB558" s="4"/>
      <c r="AC558" s="3"/>
      <c r="AK558" s="4"/>
      <c r="AL558" s="3"/>
      <c r="AS558" s="4"/>
      <c r="AT558" s="4"/>
      <c r="AU558" s="3"/>
      <c r="BB558" s="4"/>
      <c r="BC558" s="3"/>
      <c r="BJ558" s="4"/>
      <c r="BK558" s="3"/>
      <c r="BR558" s="4"/>
      <c r="BS558" s="3"/>
      <c r="BZ558" s="4"/>
    </row>
    <row r="559" ht="14.25" customHeight="1">
      <c r="T559" s="3"/>
      <c r="AA559" s="4"/>
      <c r="AB559" s="4"/>
      <c r="AC559" s="3"/>
      <c r="AK559" s="4"/>
      <c r="AL559" s="3"/>
      <c r="AS559" s="4"/>
      <c r="AT559" s="4"/>
      <c r="AU559" s="3"/>
      <c r="BB559" s="4"/>
      <c r="BC559" s="3"/>
      <c r="BJ559" s="4"/>
      <c r="BK559" s="3"/>
      <c r="BR559" s="4"/>
      <c r="BS559" s="3"/>
      <c r="BZ559" s="4"/>
    </row>
    <row r="560" ht="14.25" customHeight="1">
      <c r="T560" s="3"/>
      <c r="AA560" s="4"/>
      <c r="AB560" s="4"/>
      <c r="AC560" s="3"/>
      <c r="AK560" s="4"/>
      <c r="AL560" s="3"/>
      <c r="AS560" s="4"/>
      <c r="AT560" s="4"/>
      <c r="AU560" s="3"/>
      <c r="BB560" s="4"/>
      <c r="BC560" s="3"/>
      <c r="BJ560" s="4"/>
      <c r="BK560" s="3"/>
      <c r="BR560" s="4"/>
      <c r="BS560" s="3"/>
      <c r="BZ560" s="4"/>
    </row>
    <row r="561" ht="14.25" customHeight="1">
      <c r="T561" s="3"/>
      <c r="AA561" s="4"/>
      <c r="AB561" s="4"/>
      <c r="AC561" s="3"/>
      <c r="AK561" s="4"/>
      <c r="AL561" s="3"/>
      <c r="AS561" s="4"/>
      <c r="AT561" s="4"/>
      <c r="AU561" s="3"/>
      <c r="BB561" s="4"/>
      <c r="BC561" s="3"/>
      <c r="BJ561" s="4"/>
      <c r="BK561" s="3"/>
      <c r="BR561" s="4"/>
      <c r="BS561" s="3"/>
      <c r="BZ561" s="4"/>
    </row>
    <row r="562" ht="14.25" customHeight="1">
      <c r="T562" s="3"/>
      <c r="AA562" s="4"/>
      <c r="AB562" s="4"/>
      <c r="AC562" s="3"/>
      <c r="AK562" s="4"/>
      <c r="AL562" s="3"/>
      <c r="AS562" s="4"/>
      <c r="AT562" s="4"/>
      <c r="AU562" s="3"/>
      <c r="BB562" s="4"/>
      <c r="BC562" s="3"/>
      <c r="BJ562" s="4"/>
      <c r="BK562" s="3"/>
      <c r="BR562" s="4"/>
      <c r="BS562" s="3"/>
      <c r="BZ562" s="4"/>
    </row>
    <row r="563" ht="14.25" customHeight="1">
      <c r="T563" s="3"/>
      <c r="AA563" s="4"/>
      <c r="AB563" s="4"/>
      <c r="AC563" s="3"/>
      <c r="AK563" s="4"/>
      <c r="AL563" s="3"/>
      <c r="AS563" s="4"/>
      <c r="AT563" s="4"/>
      <c r="AU563" s="3"/>
      <c r="BB563" s="4"/>
      <c r="BC563" s="3"/>
      <c r="BJ563" s="4"/>
      <c r="BK563" s="3"/>
      <c r="BR563" s="4"/>
      <c r="BS563" s="3"/>
      <c r="BZ563" s="4"/>
    </row>
    <row r="564" ht="14.25" customHeight="1">
      <c r="T564" s="3"/>
      <c r="AA564" s="4"/>
      <c r="AB564" s="4"/>
      <c r="AC564" s="3"/>
      <c r="AK564" s="4"/>
      <c r="AL564" s="3"/>
      <c r="AS564" s="4"/>
      <c r="AT564" s="4"/>
      <c r="AU564" s="3"/>
      <c r="BB564" s="4"/>
      <c r="BC564" s="3"/>
      <c r="BJ564" s="4"/>
      <c r="BK564" s="3"/>
      <c r="BR564" s="4"/>
      <c r="BS564" s="3"/>
      <c r="BZ564" s="4"/>
    </row>
    <row r="565" ht="14.25" customHeight="1">
      <c r="T565" s="3"/>
      <c r="AA565" s="4"/>
      <c r="AB565" s="4"/>
      <c r="AC565" s="3"/>
      <c r="AK565" s="4"/>
      <c r="AL565" s="3"/>
      <c r="AS565" s="4"/>
      <c r="AT565" s="4"/>
      <c r="AU565" s="3"/>
      <c r="BB565" s="4"/>
      <c r="BC565" s="3"/>
      <c r="BJ565" s="4"/>
      <c r="BK565" s="3"/>
      <c r="BR565" s="4"/>
      <c r="BS565" s="3"/>
      <c r="BZ565" s="4"/>
    </row>
    <row r="566" ht="14.25" customHeight="1">
      <c r="T566" s="3"/>
      <c r="AA566" s="4"/>
      <c r="AB566" s="4"/>
      <c r="AC566" s="3"/>
      <c r="AK566" s="4"/>
      <c r="AL566" s="3"/>
      <c r="AS566" s="4"/>
      <c r="AT566" s="4"/>
      <c r="AU566" s="3"/>
      <c r="BB566" s="4"/>
      <c r="BC566" s="3"/>
      <c r="BJ566" s="4"/>
      <c r="BK566" s="3"/>
      <c r="BR566" s="4"/>
      <c r="BS566" s="3"/>
      <c r="BZ566" s="4"/>
    </row>
    <row r="567" ht="14.25" customHeight="1">
      <c r="T567" s="3"/>
      <c r="AA567" s="4"/>
      <c r="AB567" s="4"/>
      <c r="AC567" s="3"/>
      <c r="AK567" s="4"/>
      <c r="AL567" s="3"/>
      <c r="AS567" s="4"/>
      <c r="AT567" s="4"/>
      <c r="AU567" s="3"/>
      <c r="BB567" s="4"/>
      <c r="BC567" s="3"/>
      <c r="BJ567" s="4"/>
      <c r="BK567" s="3"/>
      <c r="BR567" s="4"/>
      <c r="BS567" s="3"/>
      <c r="BZ567" s="4"/>
    </row>
    <row r="568" ht="14.25" customHeight="1">
      <c r="T568" s="3"/>
      <c r="AA568" s="4"/>
      <c r="AB568" s="4"/>
      <c r="AC568" s="3"/>
      <c r="AK568" s="4"/>
      <c r="AL568" s="3"/>
      <c r="AS568" s="4"/>
      <c r="AT568" s="4"/>
      <c r="AU568" s="3"/>
      <c r="BB568" s="4"/>
      <c r="BC568" s="3"/>
      <c r="BJ568" s="4"/>
      <c r="BK568" s="3"/>
      <c r="BR568" s="4"/>
      <c r="BS568" s="3"/>
      <c r="BZ568" s="4"/>
    </row>
    <row r="569" ht="14.25" customHeight="1">
      <c r="T569" s="3"/>
      <c r="AA569" s="4"/>
      <c r="AB569" s="4"/>
      <c r="AC569" s="3"/>
      <c r="AK569" s="4"/>
      <c r="AL569" s="3"/>
      <c r="AS569" s="4"/>
      <c r="AT569" s="4"/>
      <c r="AU569" s="3"/>
      <c r="BB569" s="4"/>
      <c r="BC569" s="3"/>
      <c r="BJ569" s="4"/>
      <c r="BK569" s="3"/>
      <c r="BR569" s="4"/>
      <c r="BS569" s="3"/>
      <c r="BZ569" s="4"/>
    </row>
    <row r="570" ht="14.25" customHeight="1">
      <c r="T570" s="3"/>
      <c r="AA570" s="4"/>
      <c r="AB570" s="4"/>
      <c r="AC570" s="3"/>
      <c r="AK570" s="4"/>
      <c r="AL570" s="3"/>
      <c r="AS570" s="4"/>
      <c r="AT570" s="4"/>
      <c r="AU570" s="3"/>
      <c r="BB570" s="4"/>
      <c r="BC570" s="3"/>
      <c r="BJ570" s="4"/>
      <c r="BK570" s="3"/>
      <c r="BR570" s="4"/>
      <c r="BS570" s="3"/>
      <c r="BZ570" s="4"/>
    </row>
    <row r="571" ht="14.25" customHeight="1">
      <c r="T571" s="3"/>
      <c r="AA571" s="4"/>
      <c r="AB571" s="4"/>
      <c r="AC571" s="3"/>
      <c r="AK571" s="4"/>
      <c r="AL571" s="3"/>
      <c r="AS571" s="4"/>
      <c r="AT571" s="4"/>
      <c r="AU571" s="3"/>
      <c r="BB571" s="4"/>
      <c r="BC571" s="3"/>
      <c r="BJ571" s="4"/>
      <c r="BK571" s="3"/>
      <c r="BR571" s="4"/>
      <c r="BS571" s="3"/>
      <c r="BZ571" s="4"/>
    </row>
    <row r="572" ht="14.25" customHeight="1">
      <c r="T572" s="3"/>
      <c r="AA572" s="4"/>
      <c r="AB572" s="4"/>
      <c r="AC572" s="3"/>
      <c r="AK572" s="4"/>
      <c r="AL572" s="3"/>
      <c r="AS572" s="4"/>
      <c r="AT572" s="4"/>
      <c r="AU572" s="3"/>
      <c r="BB572" s="4"/>
      <c r="BC572" s="3"/>
      <c r="BJ572" s="4"/>
      <c r="BK572" s="3"/>
      <c r="BR572" s="4"/>
      <c r="BS572" s="3"/>
      <c r="BZ572" s="4"/>
    </row>
    <row r="573" ht="14.25" customHeight="1">
      <c r="T573" s="3"/>
      <c r="AA573" s="4"/>
      <c r="AB573" s="4"/>
      <c r="AC573" s="3"/>
      <c r="AK573" s="4"/>
      <c r="AL573" s="3"/>
      <c r="AS573" s="4"/>
      <c r="AT573" s="4"/>
      <c r="AU573" s="3"/>
      <c r="BB573" s="4"/>
      <c r="BC573" s="3"/>
      <c r="BJ573" s="4"/>
      <c r="BK573" s="3"/>
      <c r="BR573" s="4"/>
      <c r="BS573" s="3"/>
      <c r="BZ573" s="4"/>
    </row>
    <row r="574" ht="14.25" customHeight="1">
      <c r="T574" s="3"/>
      <c r="AA574" s="4"/>
      <c r="AB574" s="4"/>
      <c r="AC574" s="3"/>
      <c r="AK574" s="4"/>
      <c r="AL574" s="3"/>
      <c r="AS574" s="4"/>
      <c r="AT574" s="4"/>
      <c r="AU574" s="3"/>
      <c r="BB574" s="4"/>
      <c r="BC574" s="3"/>
      <c r="BJ574" s="4"/>
      <c r="BK574" s="3"/>
      <c r="BR574" s="4"/>
      <c r="BS574" s="3"/>
      <c r="BZ574" s="4"/>
    </row>
    <row r="575" ht="14.25" customHeight="1">
      <c r="T575" s="3"/>
      <c r="AA575" s="4"/>
      <c r="AB575" s="4"/>
      <c r="AC575" s="3"/>
      <c r="AK575" s="4"/>
      <c r="AL575" s="3"/>
      <c r="AS575" s="4"/>
      <c r="AT575" s="4"/>
      <c r="AU575" s="3"/>
      <c r="BB575" s="4"/>
      <c r="BC575" s="3"/>
      <c r="BJ575" s="4"/>
      <c r="BK575" s="3"/>
      <c r="BR575" s="4"/>
      <c r="BS575" s="3"/>
      <c r="BZ575" s="4"/>
    </row>
    <row r="576" ht="14.25" customHeight="1">
      <c r="T576" s="3"/>
      <c r="AA576" s="4"/>
      <c r="AB576" s="4"/>
      <c r="AC576" s="3"/>
      <c r="AK576" s="4"/>
      <c r="AL576" s="3"/>
      <c r="AS576" s="4"/>
      <c r="AT576" s="4"/>
      <c r="AU576" s="3"/>
      <c r="BB576" s="4"/>
      <c r="BC576" s="3"/>
      <c r="BJ576" s="4"/>
      <c r="BK576" s="3"/>
      <c r="BR576" s="4"/>
      <c r="BS576" s="3"/>
      <c r="BZ576" s="4"/>
    </row>
    <row r="577" ht="14.25" customHeight="1">
      <c r="T577" s="3"/>
      <c r="AA577" s="4"/>
      <c r="AB577" s="4"/>
      <c r="AC577" s="3"/>
      <c r="AK577" s="4"/>
      <c r="AL577" s="3"/>
      <c r="AS577" s="4"/>
      <c r="AT577" s="4"/>
      <c r="AU577" s="3"/>
      <c r="BB577" s="4"/>
      <c r="BC577" s="3"/>
      <c r="BJ577" s="4"/>
      <c r="BK577" s="3"/>
      <c r="BR577" s="4"/>
      <c r="BS577" s="3"/>
      <c r="BZ577" s="4"/>
    </row>
    <row r="578" ht="14.25" customHeight="1">
      <c r="T578" s="3"/>
      <c r="AA578" s="4"/>
      <c r="AB578" s="4"/>
      <c r="AC578" s="3"/>
      <c r="AK578" s="4"/>
      <c r="AL578" s="3"/>
      <c r="AS578" s="4"/>
      <c r="AT578" s="4"/>
      <c r="AU578" s="3"/>
      <c r="BB578" s="4"/>
      <c r="BC578" s="3"/>
      <c r="BJ578" s="4"/>
      <c r="BK578" s="3"/>
      <c r="BR578" s="4"/>
      <c r="BS578" s="3"/>
      <c r="BZ578" s="4"/>
    </row>
    <row r="579" ht="14.25" customHeight="1">
      <c r="T579" s="3"/>
      <c r="AA579" s="4"/>
      <c r="AB579" s="4"/>
      <c r="AC579" s="3"/>
      <c r="AK579" s="4"/>
      <c r="AL579" s="3"/>
      <c r="AS579" s="4"/>
      <c r="AT579" s="4"/>
      <c r="AU579" s="3"/>
      <c r="BB579" s="4"/>
      <c r="BC579" s="3"/>
      <c r="BJ579" s="4"/>
      <c r="BK579" s="3"/>
      <c r="BR579" s="4"/>
      <c r="BS579" s="3"/>
      <c r="BZ579" s="4"/>
    </row>
    <row r="580" ht="14.25" customHeight="1">
      <c r="T580" s="3"/>
      <c r="AA580" s="4"/>
      <c r="AB580" s="4"/>
      <c r="AC580" s="3"/>
      <c r="AK580" s="4"/>
      <c r="AL580" s="3"/>
      <c r="AS580" s="4"/>
      <c r="AT580" s="4"/>
      <c r="AU580" s="3"/>
      <c r="BB580" s="4"/>
      <c r="BC580" s="3"/>
      <c r="BJ580" s="4"/>
      <c r="BK580" s="3"/>
      <c r="BR580" s="4"/>
      <c r="BS580" s="3"/>
      <c r="BZ580" s="4"/>
    </row>
    <row r="581" ht="14.25" customHeight="1">
      <c r="T581" s="3"/>
      <c r="AA581" s="4"/>
      <c r="AB581" s="4"/>
      <c r="AC581" s="3"/>
      <c r="AK581" s="4"/>
      <c r="AL581" s="3"/>
      <c r="AS581" s="4"/>
      <c r="AT581" s="4"/>
      <c r="AU581" s="3"/>
      <c r="BB581" s="4"/>
      <c r="BC581" s="3"/>
      <c r="BJ581" s="4"/>
      <c r="BK581" s="3"/>
      <c r="BR581" s="4"/>
      <c r="BS581" s="3"/>
      <c r="BZ581" s="4"/>
    </row>
    <row r="582" ht="14.25" customHeight="1">
      <c r="T582" s="3"/>
      <c r="AA582" s="4"/>
      <c r="AB582" s="4"/>
      <c r="AC582" s="3"/>
      <c r="AK582" s="4"/>
      <c r="AL582" s="3"/>
      <c r="AS582" s="4"/>
      <c r="AT582" s="4"/>
      <c r="AU582" s="3"/>
      <c r="BB582" s="4"/>
      <c r="BC582" s="3"/>
      <c r="BJ582" s="4"/>
      <c r="BK582" s="3"/>
      <c r="BR582" s="4"/>
      <c r="BS582" s="3"/>
      <c r="BZ582" s="4"/>
    </row>
    <row r="583" ht="14.25" customHeight="1">
      <c r="T583" s="3"/>
      <c r="AA583" s="4"/>
      <c r="AB583" s="4"/>
      <c r="AC583" s="3"/>
      <c r="AK583" s="4"/>
      <c r="AL583" s="3"/>
      <c r="AS583" s="4"/>
      <c r="AT583" s="4"/>
      <c r="AU583" s="3"/>
      <c r="BB583" s="4"/>
      <c r="BC583" s="3"/>
      <c r="BJ583" s="4"/>
      <c r="BK583" s="3"/>
      <c r="BR583" s="4"/>
      <c r="BS583" s="3"/>
      <c r="BZ583" s="4"/>
    </row>
    <row r="584" ht="14.25" customHeight="1">
      <c r="T584" s="3"/>
      <c r="AA584" s="4"/>
      <c r="AB584" s="4"/>
      <c r="AC584" s="3"/>
      <c r="AK584" s="4"/>
      <c r="AL584" s="3"/>
      <c r="AS584" s="4"/>
      <c r="AT584" s="4"/>
      <c r="AU584" s="3"/>
      <c r="BB584" s="4"/>
      <c r="BC584" s="3"/>
      <c r="BJ584" s="4"/>
      <c r="BK584" s="3"/>
      <c r="BR584" s="4"/>
      <c r="BS584" s="3"/>
      <c r="BZ584" s="4"/>
    </row>
    <row r="585" ht="14.25" customHeight="1">
      <c r="T585" s="3"/>
      <c r="AA585" s="4"/>
      <c r="AB585" s="4"/>
      <c r="AC585" s="3"/>
      <c r="AK585" s="4"/>
      <c r="AL585" s="3"/>
      <c r="AS585" s="4"/>
      <c r="AT585" s="4"/>
      <c r="AU585" s="3"/>
      <c r="BB585" s="4"/>
      <c r="BC585" s="3"/>
      <c r="BJ585" s="4"/>
      <c r="BK585" s="3"/>
      <c r="BR585" s="4"/>
      <c r="BS585" s="3"/>
      <c r="BZ585" s="4"/>
    </row>
    <row r="586" ht="14.25" customHeight="1">
      <c r="T586" s="3"/>
      <c r="AA586" s="4"/>
      <c r="AB586" s="4"/>
      <c r="AC586" s="3"/>
      <c r="AK586" s="4"/>
      <c r="AL586" s="3"/>
      <c r="AS586" s="4"/>
      <c r="AT586" s="4"/>
      <c r="AU586" s="3"/>
      <c r="BB586" s="4"/>
      <c r="BC586" s="3"/>
      <c r="BJ586" s="4"/>
      <c r="BK586" s="3"/>
      <c r="BR586" s="4"/>
      <c r="BS586" s="3"/>
      <c r="BZ586" s="4"/>
    </row>
    <row r="587" ht="14.25" customHeight="1">
      <c r="T587" s="3"/>
      <c r="AA587" s="4"/>
      <c r="AB587" s="4"/>
      <c r="AC587" s="3"/>
      <c r="AK587" s="4"/>
      <c r="AL587" s="3"/>
      <c r="AS587" s="4"/>
      <c r="AT587" s="4"/>
      <c r="AU587" s="3"/>
      <c r="BB587" s="4"/>
      <c r="BC587" s="3"/>
      <c r="BJ587" s="4"/>
      <c r="BK587" s="3"/>
      <c r="BR587" s="4"/>
      <c r="BS587" s="3"/>
      <c r="BZ587" s="4"/>
    </row>
    <row r="588" ht="14.25" customHeight="1">
      <c r="T588" s="3"/>
      <c r="AA588" s="4"/>
      <c r="AB588" s="4"/>
      <c r="AC588" s="3"/>
      <c r="AK588" s="4"/>
      <c r="AL588" s="3"/>
      <c r="AS588" s="4"/>
      <c r="AT588" s="4"/>
      <c r="AU588" s="3"/>
      <c r="BB588" s="4"/>
      <c r="BC588" s="3"/>
      <c r="BJ588" s="4"/>
      <c r="BK588" s="3"/>
      <c r="BR588" s="4"/>
      <c r="BS588" s="3"/>
      <c r="BZ588" s="4"/>
    </row>
    <row r="589" ht="14.25" customHeight="1">
      <c r="T589" s="3"/>
      <c r="AA589" s="4"/>
      <c r="AB589" s="4"/>
      <c r="AC589" s="3"/>
      <c r="AK589" s="4"/>
      <c r="AL589" s="3"/>
      <c r="AS589" s="4"/>
      <c r="AT589" s="4"/>
      <c r="AU589" s="3"/>
      <c r="BB589" s="4"/>
      <c r="BC589" s="3"/>
      <c r="BJ589" s="4"/>
      <c r="BK589" s="3"/>
      <c r="BR589" s="4"/>
      <c r="BS589" s="3"/>
      <c r="BZ589" s="4"/>
    </row>
    <row r="590" ht="14.25" customHeight="1">
      <c r="T590" s="3"/>
      <c r="AA590" s="4"/>
      <c r="AB590" s="4"/>
      <c r="AC590" s="3"/>
      <c r="AK590" s="4"/>
      <c r="AL590" s="3"/>
      <c r="AS590" s="4"/>
      <c r="AT590" s="4"/>
      <c r="AU590" s="3"/>
      <c r="BB590" s="4"/>
      <c r="BC590" s="3"/>
      <c r="BJ590" s="4"/>
      <c r="BK590" s="3"/>
      <c r="BR590" s="4"/>
      <c r="BS590" s="3"/>
      <c r="BZ590" s="4"/>
    </row>
    <row r="591" ht="14.25" customHeight="1">
      <c r="T591" s="3"/>
      <c r="AA591" s="4"/>
      <c r="AB591" s="4"/>
      <c r="AC591" s="3"/>
      <c r="AK591" s="4"/>
      <c r="AL591" s="3"/>
      <c r="AS591" s="4"/>
      <c r="AT591" s="4"/>
      <c r="AU591" s="3"/>
      <c r="BB591" s="4"/>
      <c r="BC591" s="3"/>
      <c r="BJ591" s="4"/>
      <c r="BK591" s="3"/>
      <c r="BR591" s="4"/>
      <c r="BS591" s="3"/>
      <c r="BZ591" s="4"/>
    </row>
    <row r="592" ht="14.25" customHeight="1">
      <c r="T592" s="3"/>
      <c r="AA592" s="4"/>
      <c r="AB592" s="4"/>
      <c r="AC592" s="3"/>
      <c r="AK592" s="4"/>
      <c r="AL592" s="3"/>
      <c r="AS592" s="4"/>
      <c r="AT592" s="4"/>
      <c r="AU592" s="3"/>
      <c r="BB592" s="4"/>
      <c r="BC592" s="3"/>
      <c r="BJ592" s="4"/>
      <c r="BK592" s="3"/>
      <c r="BR592" s="4"/>
      <c r="BS592" s="3"/>
      <c r="BZ592" s="4"/>
    </row>
    <row r="593" ht="14.25" customHeight="1">
      <c r="T593" s="3"/>
      <c r="AA593" s="4"/>
      <c r="AB593" s="4"/>
      <c r="AC593" s="3"/>
      <c r="AK593" s="4"/>
      <c r="AL593" s="3"/>
      <c r="AS593" s="4"/>
      <c r="AT593" s="4"/>
      <c r="AU593" s="3"/>
      <c r="BB593" s="4"/>
      <c r="BC593" s="3"/>
      <c r="BJ593" s="4"/>
      <c r="BK593" s="3"/>
      <c r="BR593" s="4"/>
      <c r="BS593" s="3"/>
      <c r="BZ593" s="4"/>
    </row>
    <row r="594" ht="14.25" customHeight="1">
      <c r="T594" s="3"/>
      <c r="AA594" s="4"/>
      <c r="AB594" s="4"/>
      <c r="AC594" s="3"/>
      <c r="AK594" s="4"/>
      <c r="AL594" s="3"/>
      <c r="AS594" s="4"/>
      <c r="AT594" s="4"/>
      <c r="AU594" s="3"/>
      <c r="BB594" s="4"/>
      <c r="BC594" s="3"/>
      <c r="BJ594" s="4"/>
      <c r="BK594" s="3"/>
      <c r="BR594" s="4"/>
      <c r="BS594" s="3"/>
      <c r="BZ594" s="4"/>
    </row>
    <row r="595" ht="14.25" customHeight="1">
      <c r="T595" s="3"/>
      <c r="AA595" s="4"/>
      <c r="AB595" s="4"/>
      <c r="AC595" s="3"/>
      <c r="AK595" s="4"/>
      <c r="AL595" s="3"/>
      <c r="AS595" s="4"/>
      <c r="AT595" s="4"/>
      <c r="AU595" s="3"/>
      <c r="BB595" s="4"/>
      <c r="BC595" s="3"/>
      <c r="BJ595" s="4"/>
      <c r="BK595" s="3"/>
      <c r="BR595" s="4"/>
      <c r="BS595" s="3"/>
      <c r="BZ595" s="4"/>
    </row>
    <row r="596" ht="14.25" customHeight="1">
      <c r="T596" s="3"/>
      <c r="AA596" s="4"/>
      <c r="AB596" s="4"/>
      <c r="AC596" s="3"/>
      <c r="AK596" s="4"/>
      <c r="AL596" s="3"/>
      <c r="AS596" s="4"/>
      <c r="AT596" s="4"/>
      <c r="AU596" s="3"/>
      <c r="BB596" s="4"/>
      <c r="BC596" s="3"/>
      <c r="BJ596" s="4"/>
      <c r="BK596" s="3"/>
      <c r="BR596" s="4"/>
      <c r="BS596" s="3"/>
      <c r="BZ596" s="4"/>
    </row>
    <row r="597" ht="14.25" customHeight="1">
      <c r="T597" s="3"/>
      <c r="AA597" s="4"/>
      <c r="AB597" s="4"/>
      <c r="AC597" s="3"/>
      <c r="AK597" s="4"/>
      <c r="AL597" s="3"/>
      <c r="AS597" s="4"/>
      <c r="AT597" s="4"/>
      <c r="AU597" s="3"/>
      <c r="BB597" s="4"/>
      <c r="BC597" s="3"/>
      <c r="BJ597" s="4"/>
      <c r="BK597" s="3"/>
      <c r="BR597" s="4"/>
      <c r="BS597" s="3"/>
      <c r="BZ597" s="4"/>
    </row>
    <row r="598" ht="14.25" customHeight="1">
      <c r="T598" s="3"/>
      <c r="AA598" s="4"/>
      <c r="AB598" s="4"/>
      <c r="AC598" s="3"/>
      <c r="AK598" s="4"/>
      <c r="AL598" s="3"/>
      <c r="AS598" s="4"/>
      <c r="AT598" s="4"/>
      <c r="AU598" s="3"/>
      <c r="BB598" s="4"/>
      <c r="BC598" s="3"/>
      <c r="BJ598" s="4"/>
      <c r="BK598" s="3"/>
      <c r="BR598" s="4"/>
      <c r="BS598" s="3"/>
      <c r="BZ598" s="4"/>
    </row>
    <row r="599" ht="14.25" customHeight="1">
      <c r="T599" s="3"/>
      <c r="AA599" s="4"/>
      <c r="AB599" s="4"/>
      <c r="AC599" s="3"/>
      <c r="AK599" s="4"/>
      <c r="AL599" s="3"/>
      <c r="AS599" s="4"/>
      <c r="AT599" s="4"/>
      <c r="AU599" s="3"/>
      <c r="BB599" s="4"/>
      <c r="BC599" s="3"/>
      <c r="BJ599" s="4"/>
      <c r="BK599" s="3"/>
      <c r="BR599" s="4"/>
      <c r="BS599" s="3"/>
      <c r="BZ599" s="4"/>
    </row>
    <row r="600" ht="14.25" customHeight="1">
      <c r="T600" s="3"/>
      <c r="AA600" s="4"/>
      <c r="AB600" s="4"/>
      <c r="AC600" s="3"/>
      <c r="AK600" s="4"/>
      <c r="AL600" s="3"/>
      <c r="AS600" s="4"/>
      <c r="AT600" s="4"/>
      <c r="AU600" s="3"/>
      <c r="BB600" s="4"/>
      <c r="BC600" s="3"/>
      <c r="BJ600" s="4"/>
      <c r="BK600" s="3"/>
      <c r="BR600" s="4"/>
      <c r="BS600" s="3"/>
      <c r="BZ600" s="4"/>
    </row>
    <row r="601" ht="14.25" customHeight="1">
      <c r="T601" s="3"/>
      <c r="AA601" s="4"/>
      <c r="AB601" s="4"/>
      <c r="AC601" s="3"/>
      <c r="AK601" s="4"/>
      <c r="AL601" s="3"/>
      <c r="AS601" s="4"/>
      <c r="AT601" s="4"/>
      <c r="AU601" s="3"/>
      <c r="BB601" s="4"/>
      <c r="BC601" s="3"/>
      <c r="BJ601" s="4"/>
      <c r="BK601" s="3"/>
      <c r="BR601" s="4"/>
      <c r="BS601" s="3"/>
      <c r="BZ601" s="4"/>
    </row>
    <row r="602" ht="14.25" customHeight="1">
      <c r="T602" s="3"/>
      <c r="AA602" s="4"/>
      <c r="AB602" s="4"/>
      <c r="AC602" s="3"/>
      <c r="AK602" s="4"/>
      <c r="AL602" s="3"/>
      <c r="AS602" s="4"/>
      <c r="AT602" s="4"/>
      <c r="AU602" s="3"/>
      <c r="BB602" s="4"/>
      <c r="BC602" s="3"/>
      <c r="BJ602" s="4"/>
      <c r="BK602" s="3"/>
      <c r="BR602" s="4"/>
      <c r="BS602" s="3"/>
      <c r="BZ602" s="4"/>
    </row>
    <row r="603" ht="14.25" customHeight="1">
      <c r="T603" s="3"/>
      <c r="AA603" s="4"/>
      <c r="AB603" s="4"/>
      <c r="AC603" s="3"/>
      <c r="AK603" s="4"/>
      <c r="AL603" s="3"/>
      <c r="AS603" s="4"/>
      <c r="AT603" s="4"/>
      <c r="AU603" s="3"/>
      <c r="BB603" s="4"/>
      <c r="BC603" s="3"/>
      <c r="BJ603" s="4"/>
      <c r="BK603" s="3"/>
      <c r="BR603" s="4"/>
      <c r="BS603" s="3"/>
      <c r="BZ603" s="4"/>
    </row>
    <row r="604" ht="14.25" customHeight="1">
      <c r="T604" s="3"/>
      <c r="AA604" s="4"/>
      <c r="AB604" s="4"/>
      <c r="AC604" s="3"/>
      <c r="AK604" s="4"/>
      <c r="AL604" s="3"/>
      <c r="AS604" s="4"/>
      <c r="AT604" s="4"/>
      <c r="AU604" s="3"/>
      <c r="BB604" s="4"/>
      <c r="BC604" s="3"/>
      <c r="BJ604" s="4"/>
      <c r="BK604" s="3"/>
      <c r="BR604" s="4"/>
      <c r="BS604" s="3"/>
      <c r="BZ604" s="4"/>
    </row>
    <row r="605" ht="14.25" customHeight="1">
      <c r="T605" s="3"/>
      <c r="AA605" s="4"/>
      <c r="AB605" s="4"/>
      <c r="AC605" s="3"/>
      <c r="AK605" s="4"/>
      <c r="AL605" s="3"/>
      <c r="AS605" s="4"/>
      <c r="AT605" s="4"/>
      <c r="AU605" s="3"/>
      <c r="BB605" s="4"/>
      <c r="BC605" s="3"/>
      <c r="BJ605" s="4"/>
      <c r="BK605" s="3"/>
      <c r="BR605" s="4"/>
      <c r="BS605" s="3"/>
      <c r="BZ605" s="4"/>
    </row>
    <row r="606" ht="14.25" customHeight="1">
      <c r="T606" s="3"/>
      <c r="AA606" s="4"/>
      <c r="AB606" s="4"/>
      <c r="AC606" s="3"/>
      <c r="AK606" s="4"/>
      <c r="AL606" s="3"/>
      <c r="AS606" s="4"/>
      <c r="AT606" s="4"/>
      <c r="AU606" s="3"/>
      <c r="BB606" s="4"/>
      <c r="BC606" s="3"/>
      <c r="BJ606" s="4"/>
      <c r="BK606" s="3"/>
      <c r="BR606" s="4"/>
      <c r="BS606" s="3"/>
      <c r="BZ606" s="4"/>
    </row>
    <row r="607" ht="14.25" customHeight="1">
      <c r="T607" s="3"/>
      <c r="AA607" s="4"/>
      <c r="AB607" s="4"/>
      <c r="AC607" s="3"/>
      <c r="AK607" s="4"/>
      <c r="AL607" s="3"/>
      <c r="AS607" s="4"/>
      <c r="AT607" s="4"/>
      <c r="AU607" s="3"/>
      <c r="BB607" s="4"/>
      <c r="BC607" s="3"/>
      <c r="BJ607" s="4"/>
      <c r="BK607" s="3"/>
      <c r="BR607" s="4"/>
      <c r="BS607" s="3"/>
      <c r="BZ607" s="4"/>
    </row>
    <row r="608" ht="14.25" customHeight="1">
      <c r="T608" s="3"/>
      <c r="AA608" s="4"/>
      <c r="AB608" s="4"/>
      <c r="AC608" s="3"/>
      <c r="AK608" s="4"/>
      <c r="AL608" s="3"/>
      <c r="AS608" s="4"/>
      <c r="AT608" s="4"/>
      <c r="AU608" s="3"/>
      <c r="BB608" s="4"/>
      <c r="BC608" s="3"/>
      <c r="BJ608" s="4"/>
      <c r="BK608" s="3"/>
      <c r="BR608" s="4"/>
      <c r="BS608" s="3"/>
      <c r="BZ608" s="4"/>
    </row>
    <row r="609" ht="14.25" customHeight="1">
      <c r="T609" s="3"/>
      <c r="AA609" s="4"/>
      <c r="AB609" s="4"/>
      <c r="AC609" s="3"/>
      <c r="AK609" s="4"/>
      <c r="AL609" s="3"/>
      <c r="AS609" s="4"/>
      <c r="AT609" s="4"/>
      <c r="AU609" s="3"/>
      <c r="BB609" s="4"/>
      <c r="BC609" s="3"/>
      <c r="BJ609" s="4"/>
      <c r="BK609" s="3"/>
      <c r="BR609" s="4"/>
      <c r="BS609" s="3"/>
      <c r="BZ609" s="4"/>
    </row>
    <row r="610" ht="14.25" customHeight="1">
      <c r="T610" s="3"/>
      <c r="AA610" s="4"/>
      <c r="AB610" s="4"/>
      <c r="AC610" s="3"/>
      <c r="AK610" s="4"/>
      <c r="AL610" s="3"/>
      <c r="AS610" s="4"/>
      <c r="AT610" s="4"/>
      <c r="AU610" s="3"/>
      <c r="BB610" s="4"/>
      <c r="BC610" s="3"/>
      <c r="BJ610" s="4"/>
      <c r="BK610" s="3"/>
      <c r="BR610" s="4"/>
      <c r="BS610" s="3"/>
      <c r="BZ610" s="4"/>
    </row>
    <row r="611" ht="14.25" customHeight="1">
      <c r="T611" s="3"/>
      <c r="AA611" s="4"/>
      <c r="AB611" s="4"/>
      <c r="AC611" s="3"/>
      <c r="AK611" s="4"/>
      <c r="AL611" s="3"/>
      <c r="AS611" s="4"/>
      <c r="AT611" s="4"/>
      <c r="AU611" s="3"/>
      <c r="BB611" s="4"/>
      <c r="BC611" s="3"/>
      <c r="BJ611" s="4"/>
      <c r="BK611" s="3"/>
      <c r="BR611" s="4"/>
      <c r="BS611" s="3"/>
      <c r="BZ611" s="4"/>
    </row>
    <row r="612" ht="14.25" customHeight="1">
      <c r="T612" s="3"/>
      <c r="AA612" s="4"/>
      <c r="AB612" s="4"/>
      <c r="AC612" s="3"/>
      <c r="AK612" s="4"/>
      <c r="AL612" s="3"/>
      <c r="AS612" s="4"/>
      <c r="AT612" s="4"/>
      <c r="AU612" s="3"/>
      <c r="BB612" s="4"/>
      <c r="BC612" s="3"/>
      <c r="BJ612" s="4"/>
      <c r="BK612" s="3"/>
      <c r="BR612" s="4"/>
      <c r="BS612" s="3"/>
      <c r="BZ612" s="4"/>
    </row>
    <row r="613" ht="14.25" customHeight="1">
      <c r="T613" s="3"/>
      <c r="AA613" s="4"/>
      <c r="AB613" s="4"/>
      <c r="AC613" s="3"/>
      <c r="AK613" s="4"/>
      <c r="AL613" s="3"/>
      <c r="AS613" s="4"/>
      <c r="AT613" s="4"/>
      <c r="AU613" s="3"/>
      <c r="BB613" s="4"/>
      <c r="BC613" s="3"/>
      <c r="BJ613" s="4"/>
      <c r="BK613" s="3"/>
      <c r="BR613" s="4"/>
      <c r="BS613" s="3"/>
      <c r="BZ613" s="4"/>
    </row>
    <row r="614" ht="14.25" customHeight="1">
      <c r="T614" s="3"/>
      <c r="AA614" s="4"/>
      <c r="AB614" s="4"/>
      <c r="AC614" s="3"/>
      <c r="AK614" s="4"/>
      <c r="AL614" s="3"/>
      <c r="AS614" s="4"/>
      <c r="AT614" s="4"/>
      <c r="AU614" s="3"/>
      <c r="BB614" s="4"/>
      <c r="BC614" s="3"/>
      <c r="BJ614" s="4"/>
      <c r="BK614" s="3"/>
      <c r="BR614" s="4"/>
      <c r="BS614" s="3"/>
      <c r="BZ614" s="4"/>
    </row>
    <row r="615" ht="14.25" customHeight="1">
      <c r="T615" s="3"/>
      <c r="AA615" s="4"/>
      <c r="AB615" s="4"/>
      <c r="AC615" s="3"/>
      <c r="AK615" s="4"/>
      <c r="AL615" s="3"/>
      <c r="AS615" s="4"/>
      <c r="AT615" s="4"/>
      <c r="AU615" s="3"/>
      <c r="BB615" s="4"/>
      <c r="BC615" s="3"/>
      <c r="BJ615" s="4"/>
      <c r="BK615" s="3"/>
      <c r="BR615" s="4"/>
      <c r="BS615" s="3"/>
      <c r="BZ615" s="4"/>
    </row>
    <row r="616" ht="14.25" customHeight="1">
      <c r="T616" s="3"/>
      <c r="AA616" s="4"/>
      <c r="AB616" s="4"/>
      <c r="AC616" s="3"/>
      <c r="AK616" s="4"/>
      <c r="AL616" s="3"/>
      <c r="AS616" s="4"/>
      <c r="AT616" s="4"/>
      <c r="AU616" s="3"/>
      <c r="BB616" s="4"/>
      <c r="BC616" s="3"/>
      <c r="BJ616" s="4"/>
      <c r="BK616" s="3"/>
      <c r="BR616" s="4"/>
      <c r="BS616" s="3"/>
      <c r="BZ616" s="4"/>
    </row>
    <row r="617" ht="14.25" customHeight="1">
      <c r="T617" s="3"/>
      <c r="AA617" s="4"/>
      <c r="AB617" s="4"/>
      <c r="AC617" s="3"/>
      <c r="AK617" s="4"/>
      <c r="AL617" s="3"/>
      <c r="AS617" s="4"/>
      <c r="AT617" s="4"/>
      <c r="AU617" s="3"/>
      <c r="BB617" s="4"/>
      <c r="BC617" s="3"/>
      <c r="BJ617" s="4"/>
      <c r="BK617" s="3"/>
      <c r="BR617" s="4"/>
      <c r="BS617" s="3"/>
      <c r="BZ617" s="4"/>
    </row>
    <row r="618" ht="14.25" customHeight="1">
      <c r="T618" s="3"/>
      <c r="AA618" s="4"/>
      <c r="AB618" s="4"/>
      <c r="AC618" s="3"/>
      <c r="AK618" s="4"/>
      <c r="AL618" s="3"/>
      <c r="AS618" s="4"/>
      <c r="AT618" s="4"/>
      <c r="AU618" s="3"/>
      <c r="BB618" s="4"/>
      <c r="BC618" s="3"/>
      <c r="BJ618" s="4"/>
      <c r="BK618" s="3"/>
      <c r="BR618" s="4"/>
      <c r="BS618" s="3"/>
      <c r="BZ618" s="4"/>
    </row>
    <row r="619" ht="14.25" customHeight="1">
      <c r="T619" s="3"/>
      <c r="AA619" s="4"/>
      <c r="AB619" s="4"/>
      <c r="AC619" s="3"/>
      <c r="AK619" s="4"/>
      <c r="AL619" s="3"/>
      <c r="AS619" s="4"/>
      <c r="AT619" s="4"/>
      <c r="AU619" s="3"/>
      <c r="BB619" s="4"/>
      <c r="BC619" s="3"/>
      <c r="BJ619" s="4"/>
      <c r="BK619" s="3"/>
      <c r="BR619" s="4"/>
      <c r="BS619" s="3"/>
      <c r="BZ619" s="4"/>
    </row>
    <row r="620" ht="14.25" customHeight="1">
      <c r="T620" s="3"/>
      <c r="AA620" s="4"/>
      <c r="AB620" s="4"/>
      <c r="AC620" s="3"/>
      <c r="AK620" s="4"/>
      <c r="AL620" s="3"/>
      <c r="AS620" s="4"/>
      <c r="AT620" s="4"/>
      <c r="AU620" s="3"/>
      <c r="BB620" s="4"/>
      <c r="BC620" s="3"/>
      <c r="BJ620" s="4"/>
      <c r="BK620" s="3"/>
      <c r="BR620" s="4"/>
      <c r="BS620" s="3"/>
      <c r="BZ620" s="4"/>
    </row>
    <row r="621" ht="14.25" customHeight="1">
      <c r="T621" s="3"/>
      <c r="AA621" s="4"/>
      <c r="AB621" s="4"/>
      <c r="AC621" s="3"/>
      <c r="AK621" s="4"/>
      <c r="AL621" s="3"/>
      <c r="AS621" s="4"/>
      <c r="AT621" s="4"/>
      <c r="AU621" s="3"/>
      <c r="BB621" s="4"/>
      <c r="BC621" s="3"/>
      <c r="BJ621" s="4"/>
      <c r="BK621" s="3"/>
      <c r="BR621" s="4"/>
      <c r="BS621" s="3"/>
      <c r="BZ621" s="4"/>
    </row>
    <row r="622" ht="14.25" customHeight="1">
      <c r="T622" s="3"/>
      <c r="AA622" s="4"/>
      <c r="AB622" s="4"/>
      <c r="AC622" s="3"/>
      <c r="AK622" s="4"/>
      <c r="AL622" s="3"/>
      <c r="AS622" s="4"/>
      <c r="AT622" s="4"/>
      <c r="AU622" s="3"/>
      <c r="BB622" s="4"/>
      <c r="BC622" s="3"/>
      <c r="BJ622" s="4"/>
      <c r="BK622" s="3"/>
      <c r="BR622" s="4"/>
      <c r="BS622" s="3"/>
      <c r="BZ622" s="4"/>
    </row>
    <row r="623" ht="14.25" customHeight="1">
      <c r="T623" s="3"/>
      <c r="AA623" s="4"/>
      <c r="AB623" s="4"/>
      <c r="AC623" s="3"/>
      <c r="AK623" s="4"/>
      <c r="AL623" s="3"/>
      <c r="AS623" s="4"/>
      <c r="AT623" s="4"/>
      <c r="AU623" s="3"/>
      <c r="BB623" s="4"/>
      <c r="BC623" s="3"/>
      <c r="BJ623" s="4"/>
      <c r="BK623" s="3"/>
      <c r="BR623" s="4"/>
      <c r="BS623" s="3"/>
      <c r="BZ623" s="4"/>
    </row>
    <row r="624" ht="14.25" customHeight="1">
      <c r="T624" s="3"/>
      <c r="AA624" s="4"/>
      <c r="AB624" s="4"/>
      <c r="AC624" s="3"/>
      <c r="AK624" s="4"/>
      <c r="AL624" s="3"/>
      <c r="AS624" s="4"/>
      <c r="AT624" s="4"/>
      <c r="AU624" s="3"/>
      <c r="BB624" s="4"/>
      <c r="BC624" s="3"/>
      <c r="BJ624" s="4"/>
      <c r="BK624" s="3"/>
      <c r="BR624" s="4"/>
      <c r="BS624" s="3"/>
      <c r="BZ624" s="4"/>
    </row>
    <row r="625" ht="14.25" customHeight="1">
      <c r="T625" s="3"/>
      <c r="AA625" s="4"/>
      <c r="AB625" s="4"/>
      <c r="AC625" s="3"/>
      <c r="AK625" s="4"/>
      <c r="AL625" s="3"/>
      <c r="AS625" s="4"/>
      <c r="AT625" s="4"/>
      <c r="AU625" s="3"/>
      <c r="BB625" s="4"/>
      <c r="BC625" s="3"/>
      <c r="BJ625" s="4"/>
      <c r="BK625" s="3"/>
      <c r="BR625" s="4"/>
      <c r="BS625" s="3"/>
      <c r="BZ625" s="4"/>
    </row>
    <row r="626" ht="14.25" customHeight="1">
      <c r="T626" s="3"/>
      <c r="AA626" s="4"/>
      <c r="AB626" s="4"/>
      <c r="AC626" s="3"/>
      <c r="AK626" s="4"/>
      <c r="AL626" s="3"/>
      <c r="AS626" s="4"/>
      <c r="AT626" s="4"/>
      <c r="AU626" s="3"/>
      <c r="BB626" s="4"/>
      <c r="BC626" s="3"/>
      <c r="BJ626" s="4"/>
      <c r="BK626" s="3"/>
      <c r="BR626" s="4"/>
      <c r="BS626" s="3"/>
      <c r="BZ626" s="4"/>
    </row>
    <row r="627" ht="14.25" customHeight="1">
      <c r="T627" s="3"/>
      <c r="AA627" s="4"/>
      <c r="AB627" s="4"/>
      <c r="AC627" s="3"/>
      <c r="AK627" s="4"/>
      <c r="AL627" s="3"/>
      <c r="AS627" s="4"/>
      <c r="AT627" s="4"/>
      <c r="AU627" s="3"/>
      <c r="BB627" s="4"/>
      <c r="BC627" s="3"/>
      <c r="BJ627" s="4"/>
      <c r="BK627" s="3"/>
      <c r="BR627" s="4"/>
      <c r="BS627" s="3"/>
      <c r="BZ627" s="4"/>
    </row>
    <row r="628" ht="14.25" customHeight="1">
      <c r="T628" s="3"/>
      <c r="AA628" s="4"/>
      <c r="AB628" s="4"/>
      <c r="AC628" s="3"/>
      <c r="AK628" s="4"/>
      <c r="AL628" s="3"/>
      <c r="AS628" s="4"/>
      <c r="AT628" s="4"/>
      <c r="AU628" s="3"/>
      <c r="BB628" s="4"/>
      <c r="BC628" s="3"/>
      <c r="BJ628" s="4"/>
      <c r="BK628" s="3"/>
      <c r="BR628" s="4"/>
      <c r="BS628" s="3"/>
      <c r="BZ628" s="4"/>
    </row>
    <row r="629" ht="14.25" customHeight="1">
      <c r="T629" s="3"/>
      <c r="AA629" s="4"/>
      <c r="AB629" s="4"/>
      <c r="AC629" s="3"/>
      <c r="AK629" s="4"/>
      <c r="AL629" s="3"/>
      <c r="AS629" s="4"/>
      <c r="AT629" s="4"/>
      <c r="AU629" s="3"/>
      <c r="BB629" s="4"/>
      <c r="BC629" s="3"/>
      <c r="BJ629" s="4"/>
      <c r="BK629" s="3"/>
      <c r="BR629" s="4"/>
      <c r="BS629" s="3"/>
      <c r="BZ629" s="4"/>
    </row>
    <row r="630" ht="14.25" customHeight="1">
      <c r="T630" s="3"/>
      <c r="AA630" s="4"/>
      <c r="AB630" s="4"/>
      <c r="AC630" s="3"/>
      <c r="AK630" s="4"/>
      <c r="AL630" s="3"/>
      <c r="AS630" s="4"/>
      <c r="AT630" s="4"/>
      <c r="AU630" s="3"/>
      <c r="BB630" s="4"/>
      <c r="BC630" s="3"/>
      <c r="BJ630" s="4"/>
      <c r="BK630" s="3"/>
      <c r="BR630" s="4"/>
      <c r="BS630" s="3"/>
      <c r="BZ630" s="4"/>
    </row>
    <row r="631" ht="14.25" customHeight="1">
      <c r="T631" s="3"/>
      <c r="AA631" s="4"/>
      <c r="AB631" s="4"/>
      <c r="AC631" s="3"/>
      <c r="AK631" s="4"/>
      <c r="AL631" s="3"/>
      <c r="AS631" s="4"/>
      <c r="AT631" s="4"/>
      <c r="AU631" s="3"/>
      <c r="BB631" s="4"/>
      <c r="BC631" s="3"/>
      <c r="BJ631" s="4"/>
      <c r="BK631" s="3"/>
      <c r="BR631" s="4"/>
      <c r="BS631" s="3"/>
      <c r="BZ631" s="4"/>
    </row>
    <row r="632" ht="14.25" customHeight="1">
      <c r="T632" s="3"/>
      <c r="AA632" s="4"/>
      <c r="AB632" s="4"/>
      <c r="AC632" s="3"/>
      <c r="AK632" s="4"/>
      <c r="AL632" s="3"/>
      <c r="AS632" s="4"/>
      <c r="AT632" s="4"/>
      <c r="AU632" s="3"/>
      <c r="BB632" s="4"/>
      <c r="BC632" s="3"/>
      <c r="BJ632" s="4"/>
      <c r="BK632" s="3"/>
      <c r="BR632" s="4"/>
      <c r="BS632" s="3"/>
      <c r="BZ632" s="4"/>
    </row>
    <row r="633" ht="14.25" customHeight="1">
      <c r="T633" s="3"/>
      <c r="AA633" s="4"/>
      <c r="AB633" s="4"/>
      <c r="AC633" s="3"/>
      <c r="AK633" s="4"/>
      <c r="AL633" s="3"/>
      <c r="AS633" s="4"/>
      <c r="AT633" s="4"/>
      <c r="AU633" s="3"/>
      <c r="BB633" s="4"/>
      <c r="BC633" s="3"/>
      <c r="BJ633" s="4"/>
      <c r="BK633" s="3"/>
      <c r="BR633" s="4"/>
      <c r="BS633" s="3"/>
      <c r="BZ633" s="4"/>
    </row>
    <row r="634" ht="14.25" customHeight="1">
      <c r="T634" s="3"/>
      <c r="AA634" s="4"/>
      <c r="AB634" s="4"/>
      <c r="AC634" s="3"/>
      <c r="AK634" s="4"/>
      <c r="AL634" s="3"/>
      <c r="AS634" s="4"/>
      <c r="AT634" s="4"/>
      <c r="AU634" s="3"/>
      <c r="BB634" s="4"/>
      <c r="BC634" s="3"/>
      <c r="BJ634" s="4"/>
      <c r="BK634" s="3"/>
      <c r="BR634" s="4"/>
      <c r="BS634" s="3"/>
      <c r="BZ634" s="4"/>
    </row>
    <row r="635" ht="14.25" customHeight="1">
      <c r="T635" s="3"/>
      <c r="AA635" s="4"/>
      <c r="AB635" s="4"/>
      <c r="AC635" s="3"/>
      <c r="AK635" s="4"/>
      <c r="AL635" s="3"/>
      <c r="AS635" s="4"/>
      <c r="AT635" s="4"/>
      <c r="AU635" s="3"/>
      <c r="BB635" s="4"/>
      <c r="BC635" s="3"/>
      <c r="BJ635" s="4"/>
      <c r="BK635" s="3"/>
      <c r="BR635" s="4"/>
      <c r="BS635" s="3"/>
      <c r="BZ635" s="4"/>
    </row>
    <row r="636" ht="14.25" customHeight="1">
      <c r="T636" s="3"/>
      <c r="AA636" s="4"/>
      <c r="AB636" s="4"/>
      <c r="AC636" s="3"/>
      <c r="AK636" s="4"/>
      <c r="AL636" s="3"/>
      <c r="AS636" s="4"/>
      <c r="AT636" s="4"/>
      <c r="AU636" s="3"/>
      <c r="BB636" s="4"/>
      <c r="BC636" s="3"/>
      <c r="BJ636" s="4"/>
      <c r="BK636" s="3"/>
      <c r="BR636" s="4"/>
      <c r="BS636" s="3"/>
      <c r="BZ636" s="4"/>
    </row>
    <row r="637" ht="14.25" customHeight="1">
      <c r="T637" s="3"/>
      <c r="AA637" s="4"/>
      <c r="AB637" s="4"/>
      <c r="AC637" s="3"/>
      <c r="AK637" s="4"/>
      <c r="AL637" s="3"/>
      <c r="AS637" s="4"/>
      <c r="AT637" s="4"/>
      <c r="AU637" s="3"/>
      <c r="BB637" s="4"/>
      <c r="BC637" s="3"/>
      <c r="BJ637" s="4"/>
      <c r="BK637" s="3"/>
      <c r="BR637" s="4"/>
      <c r="BS637" s="3"/>
      <c r="BZ637" s="4"/>
    </row>
    <row r="638" ht="14.25" customHeight="1">
      <c r="T638" s="3"/>
      <c r="AA638" s="4"/>
      <c r="AB638" s="4"/>
      <c r="AC638" s="3"/>
      <c r="AK638" s="4"/>
      <c r="AL638" s="3"/>
      <c r="AS638" s="4"/>
      <c r="AT638" s="4"/>
      <c r="AU638" s="3"/>
      <c r="BB638" s="4"/>
      <c r="BC638" s="3"/>
      <c r="BJ638" s="4"/>
      <c r="BK638" s="3"/>
      <c r="BR638" s="4"/>
      <c r="BS638" s="3"/>
      <c r="BZ638" s="4"/>
    </row>
    <row r="639" ht="14.25" customHeight="1">
      <c r="T639" s="3"/>
      <c r="AA639" s="4"/>
      <c r="AB639" s="4"/>
      <c r="AC639" s="3"/>
      <c r="AK639" s="4"/>
      <c r="AL639" s="3"/>
      <c r="AS639" s="4"/>
      <c r="AT639" s="4"/>
      <c r="AU639" s="3"/>
      <c r="BB639" s="4"/>
      <c r="BC639" s="3"/>
      <c r="BJ639" s="4"/>
      <c r="BK639" s="3"/>
      <c r="BR639" s="4"/>
      <c r="BS639" s="3"/>
      <c r="BZ639" s="4"/>
    </row>
    <row r="640" ht="14.25" customHeight="1">
      <c r="T640" s="3"/>
      <c r="AA640" s="4"/>
      <c r="AB640" s="4"/>
      <c r="AC640" s="3"/>
      <c r="AK640" s="4"/>
      <c r="AL640" s="3"/>
      <c r="AS640" s="4"/>
      <c r="AT640" s="4"/>
      <c r="AU640" s="3"/>
      <c r="BB640" s="4"/>
      <c r="BC640" s="3"/>
      <c r="BJ640" s="4"/>
      <c r="BK640" s="3"/>
      <c r="BR640" s="4"/>
      <c r="BS640" s="3"/>
      <c r="BZ640" s="4"/>
    </row>
    <row r="641" ht="14.25" customHeight="1">
      <c r="T641" s="3"/>
      <c r="AA641" s="4"/>
      <c r="AB641" s="4"/>
      <c r="AC641" s="3"/>
      <c r="AK641" s="4"/>
      <c r="AL641" s="3"/>
      <c r="AS641" s="4"/>
      <c r="AT641" s="4"/>
      <c r="AU641" s="3"/>
      <c r="BB641" s="4"/>
      <c r="BC641" s="3"/>
      <c r="BJ641" s="4"/>
      <c r="BK641" s="3"/>
      <c r="BR641" s="4"/>
      <c r="BS641" s="3"/>
      <c r="BZ641" s="4"/>
    </row>
    <row r="642" ht="14.25" customHeight="1">
      <c r="T642" s="3"/>
      <c r="AA642" s="4"/>
      <c r="AB642" s="4"/>
      <c r="AC642" s="3"/>
      <c r="AK642" s="4"/>
      <c r="AL642" s="3"/>
      <c r="AS642" s="4"/>
      <c r="AT642" s="4"/>
      <c r="AU642" s="3"/>
      <c r="BB642" s="4"/>
      <c r="BC642" s="3"/>
      <c r="BJ642" s="4"/>
      <c r="BK642" s="3"/>
      <c r="BR642" s="4"/>
      <c r="BS642" s="3"/>
      <c r="BZ642" s="4"/>
    </row>
    <row r="643" ht="14.25" customHeight="1">
      <c r="T643" s="3"/>
      <c r="AA643" s="4"/>
      <c r="AB643" s="4"/>
      <c r="AC643" s="3"/>
      <c r="AK643" s="4"/>
      <c r="AL643" s="3"/>
      <c r="AS643" s="4"/>
      <c r="AT643" s="4"/>
      <c r="AU643" s="3"/>
      <c r="BB643" s="4"/>
      <c r="BC643" s="3"/>
      <c r="BJ643" s="4"/>
      <c r="BK643" s="3"/>
      <c r="BR643" s="4"/>
      <c r="BS643" s="3"/>
      <c r="BZ643" s="4"/>
    </row>
    <row r="644" ht="14.25" customHeight="1">
      <c r="T644" s="3"/>
      <c r="AA644" s="4"/>
      <c r="AB644" s="4"/>
      <c r="AC644" s="3"/>
      <c r="AK644" s="4"/>
      <c r="AL644" s="3"/>
      <c r="AS644" s="4"/>
      <c r="AT644" s="4"/>
      <c r="AU644" s="3"/>
      <c r="BB644" s="4"/>
      <c r="BC644" s="3"/>
      <c r="BJ644" s="4"/>
      <c r="BK644" s="3"/>
      <c r="BR644" s="4"/>
      <c r="BS644" s="3"/>
      <c r="BZ644" s="4"/>
    </row>
    <row r="645" ht="14.25" customHeight="1">
      <c r="T645" s="3"/>
      <c r="AA645" s="4"/>
      <c r="AB645" s="4"/>
      <c r="AC645" s="3"/>
      <c r="AK645" s="4"/>
      <c r="AL645" s="3"/>
      <c r="AS645" s="4"/>
      <c r="AT645" s="4"/>
      <c r="AU645" s="3"/>
      <c r="BB645" s="4"/>
      <c r="BC645" s="3"/>
      <c r="BJ645" s="4"/>
      <c r="BK645" s="3"/>
      <c r="BR645" s="4"/>
      <c r="BS645" s="3"/>
      <c r="BZ645" s="4"/>
    </row>
    <row r="646" ht="14.25" customHeight="1">
      <c r="T646" s="3"/>
      <c r="AA646" s="4"/>
      <c r="AB646" s="4"/>
      <c r="AC646" s="3"/>
      <c r="AK646" s="4"/>
      <c r="AL646" s="3"/>
      <c r="AS646" s="4"/>
      <c r="AT646" s="4"/>
      <c r="AU646" s="3"/>
      <c r="BB646" s="4"/>
      <c r="BC646" s="3"/>
      <c r="BJ646" s="4"/>
      <c r="BK646" s="3"/>
      <c r="BR646" s="4"/>
      <c r="BS646" s="3"/>
      <c r="BZ646" s="4"/>
    </row>
    <row r="647" ht="14.25" customHeight="1">
      <c r="T647" s="3"/>
      <c r="AA647" s="4"/>
      <c r="AB647" s="4"/>
      <c r="AC647" s="3"/>
      <c r="AK647" s="4"/>
      <c r="AL647" s="3"/>
      <c r="AS647" s="4"/>
      <c r="AT647" s="4"/>
      <c r="AU647" s="3"/>
      <c r="BB647" s="4"/>
      <c r="BC647" s="3"/>
      <c r="BJ647" s="4"/>
      <c r="BK647" s="3"/>
      <c r="BR647" s="4"/>
      <c r="BS647" s="3"/>
      <c r="BZ647" s="4"/>
    </row>
    <row r="648" ht="14.25" customHeight="1">
      <c r="T648" s="3"/>
      <c r="AA648" s="4"/>
      <c r="AB648" s="4"/>
      <c r="AC648" s="3"/>
      <c r="AK648" s="4"/>
      <c r="AL648" s="3"/>
      <c r="AS648" s="4"/>
      <c r="AT648" s="4"/>
      <c r="AU648" s="3"/>
      <c r="BB648" s="4"/>
      <c r="BC648" s="3"/>
      <c r="BJ648" s="4"/>
      <c r="BK648" s="3"/>
      <c r="BR648" s="4"/>
      <c r="BS648" s="3"/>
      <c r="BZ648" s="4"/>
    </row>
    <row r="649" ht="14.25" customHeight="1">
      <c r="T649" s="3"/>
      <c r="AA649" s="4"/>
      <c r="AB649" s="4"/>
      <c r="AC649" s="3"/>
      <c r="AK649" s="4"/>
      <c r="AL649" s="3"/>
      <c r="AS649" s="4"/>
      <c r="AT649" s="4"/>
      <c r="AU649" s="3"/>
      <c r="BB649" s="4"/>
      <c r="BC649" s="3"/>
      <c r="BJ649" s="4"/>
      <c r="BK649" s="3"/>
      <c r="BR649" s="4"/>
      <c r="BS649" s="3"/>
      <c r="BZ649" s="4"/>
    </row>
    <row r="650" ht="14.25" customHeight="1">
      <c r="T650" s="3"/>
      <c r="AA650" s="4"/>
      <c r="AB650" s="4"/>
      <c r="AC650" s="3"/>
      <c r="AK650" s="4"/>
      <c r="AL650" s="3"/>
      <c r="AS650" s="4"/>
      <c r="AT650" s="4"/>
      <c r="AU650" s="3"/>
      <c r="BB650" s="4"/>
      <c r="BC650" s="3"/>
      <c r="BJ650" s="4"/>
      <c r="BK650" s="3"/>
      <c r="BR650" s="4"/>
      <c r="BS650" s="3"/>
      <c r="BZ650" s="4"/>
    </row>
    <row r="651" ht="14.25" customHeight="1">
      <c r="T651" s="3"/>
      <c r="AA651" s="4"/>
      <c r="AB651" s="4"/>
      <c r="AC651" s="3"/>
      <c r="AK651" s="4"/>
      <c r="AL651" s="3"/>
      <c r="AS651" s="4"/>
      <c r="AT651" s="4"/>
      <c r="AU651" s="3"/>
      <c r="BB651" s="4"/>
      <c r="BC651" s="3"/>
      <c r="BJ651" s="4"/>
      <c r="BK651" s="3"/>
      <c r="BR651" s="4"/>
      <c r="BS651" s="3"/>
      <c r="BZ651" s="4"/>
    </row>
    <row r="652" ht="14.25" customHeight="1">
      <c r="T652" s="3"/>
      <c r="AA652" s="4"/>
      <c r="AB652" s="4"/>
      <c r="AC652" s="3"/>
      <c r="AK652" s="4"/>
      <c r="AL652" s="3"/>
      <c r="AS652" s="4"/>
      <c r="AT652" s="4"/>
      <c r="AU652" s="3"/>
      <c r="BB652" s="4"/>
      <c r="BC652" s="3"/>
      <c r="BJ652" s="4"/>
      <c r="BK652" s="3"/>
      <c r="BR652" s="4"/>
      <c r="BS652" s="3"/>
      <c r="BZ652" s="4"/>
    </row>
    <row r="653" ht="14.25" customHeight="1">
      <c r="T653" s="3"/>
      <c r="AA653" s="4"/>
      <c r="AB653" s="4"/>
      <c r="AC653" s="3"/>
      <c r="AK653" s="4"/>
      <c r="AL653" s="3"/>
      <c r="AS653" s="4"/>
      <c r="AT653" s="4"/>
      <c r="AU653" s="3"/>
      <c r="BB653" s="4"/>
      <c r="BC653" s="3"/>
      <c r="BJ653" s="4"/>
      <c r="BK653" s="3"/>
      <c r="BR653" s="4"/>
      <c r="BS653" s="3"/>
      <c r="BZ653" s="4"/>
    </row>
    <row r="654" ht="14.25" customHeight="1">
      <c r="T654" s="3"/>
      <c r="AA654" s="4"/>
      <c r="AB654" s="4"/>
      <c r="AC654" s="3"/>
      <c r="AK654" s="4"/>
      <c r="AL654" s="3"/>
      <c r="AS654" s="4"/>
      <c r="AT654" s="4"/>
      <c r="AU654" s="3"/>
      <c r="BB654" s="4"/>
      <c r="BC654" s="3"/>
      <c r="BJ654" s="4"/>
      <c r="BK654" s="3"/>
      <c r="BR654" s="4"/>
      <c r="BS654" s="3"/>
      <c r="BZ654" s="4"/>
    </row>
    <row r="655" ht="14.25" customHeight="1">
      <c r="T655" s="3"/>
      <c r="AA655" s="4"/>
      <c r="AB655" s="4"/>
      <c r="AC655" s="3"/>
      <c r="AK655" s="4"/>
      <c r="AL655" s="3"/>
      <c r="AS655" s="4"/>
      <c r="AT655" s="4"/>
      <c r="AU655" s="3"/>
      <c r="BB655" s="4"/>
      <c r="BC655" s="3"/>
      <c r="BJ655" s="4"/>
      <c r="BK655" s="3"/>
      <c r="BR655" s="4"/>
      <c r="BS655" s="3"/>
      <c r="BZ655" s="4"/>
    </row>
    <row r="656" ht="14.25" customHeight="1">
      <c r="T656" s="3"/>
      <c r="AA656" s="4"/>
      <c r="AB656" s="4"/>
      <c r="AC656" s="3"/>
      <c r="AK656" s="4"/>
      <c r="AL656" s="3"/>
      <c r="AS656" s="4"/>
      <c r="AT656" s="4"/>
      <c r="AU656" s="3"/>
      <c r="BB656" s="4"/>
      <c r="BC656" s="3"/>
      <c r="BJ656" s="4"/>
      <c r="BK656" s="3"/>
      <c r="BR656" s="4"/>
      <c r="BS656" s="3"/>
      <c r="BZ656" s="4"/>
    </row>
    <row r="657" ht="14.25" customHeight="1">
      <c r="T657" s="3"/>
      <c r="AA657" s="4"/>
      <c r="AB657" s="4"/>
      <c r="AC657" s="3"/>
      <c r="AK657" s="4"/>
      <c r="AL657" s="3"/>
      <c r="AS657" s="4"/>
      <c r="AT657" s="4"/>
      <c r="AU657" s="3"/>
      <c r="BB657" s="4"/>
      <c r="BC657" s="3"/>
      <c r="BJ657" s="4"/>
      <c r="BK657" s="3"/>
      <c r="BR657" s="4"/>
      <c r="BS657" s="3"/>
      <c r="BZ657" s="4"/>
    </row>
    <row r="658" ht="14.25" customHeight="1">
      <c r="T658" s="3"/>
      <c r="AA658" s="4"/>
      <c r="AB658" s="4"/>
      <c r="AC658" s="3"/>
      <c r="AK658" s="4"/>
      <c r="AL658" s="3"/>
      <c r="AS658" s="4"/>
      <c r="AT658" s="4"/>
      <c r="AU658" s="3"/>
      <c r="BB658" s="4"/>
      <c r="BC658" s="3"/>
      <c r="BJ658" s="4"/>
      <c r="BK658" s="3"/>
      <c r="BR658" s="4"/>
      <c r="BS658" s="3"/>
      <c r="BZ658" s="4"/>
    </row>
    <row r="659" ht="14.25" customHeight="1">
      <c r="T659" s="3"/>
      <c r="AA659" s="4"/>
      <c r="AB659" s="4"/>
      <c r="AC659" s="3"/>
      <c r="AK659" s="4"/>
      <c r="AL659" s="3"/>
      <c r="AS659" s="4"/>
      <c r="AT659" s="4"/>
      <c r="AU659" s="3"/>
      <c r="BB659" s="4"/>
      <c r="BC659" s="3"/>
      <c r="BJ659" s="4"/>
      <c r="BK659" s="3"/>
      <c r="BR659" s="4"/>
      <c r="BS659" s="3"/>
      <c r="BZ659" s="4"/>
    </row>
    <row r="660" ht="14.25" customHeight="1">
      <c r="T660" s="3"/>
      <c r="AA660" s="4"/>
      <c r="AB660" s="4"/>
      <c r="AC660" s="3"/>
      <c r="AK660" s="4"/>
      <c r="AL660" s="3"/>
      <c r="AS660" s="4"/>
      <c r="AT660" s="4"/>
      <c r="AU660" s="3"/>
      <c r="BB660" s="4"/>
      <c r="BC660" s="3"/>
      <c r="BJ660" s="4"/>
      <c r="BK660" s="3"/>
      <c r="BR660" s="4"/>
      <c r="BS660" s="3"/>
      <c r="BZ660" s="4"/>
    </row>
    <row r="661" ht="14.25" customHeight="1">
      <c r="T661" s="3"/>
      <c r="AA661" s="4"/>
      <c r="AB661" s="4"/>
      <c r="AC661" s="3"/>
      <c r="AK661" s="4"/>
      <c r="AL661" s="3"/>
      <c r="AS661" s="4"/>
      <c r="AT661" s="4"/>
      <c r="AU661" s="3"/>
      <c r="BB661" s="4"/>
      <c r="BC661" s="3"/>
      <c r="BJ661" s="4"/>
      <c r="BK661" s="3"/>
      <c r="BR661" s="4"/>
      <c r="BS661" s="3"/>
      <c r="BZ661" s="4"/>
    </row>
    <row r="662" ht="14.25" customHeight="1">
      <c r="T662" s="3"/>
      <c r="AA662" s="4"/>
      <c r="AB662" s="4"/>
      <c r="AC662" s="3"/>
      <c r="AK662" s="4"/>
      <c r="AL662" s="3"/>
      <c r="AS662" s="4"/>
      <c r="AT662" s="4"/>
      <c r="AU662" s="3"/>
      <c r="BB662" s="4"/>
      <c r="BC662" s="3"/>
      <c r="BJ662" s="4"/>
      <c r="BK662" s="3"/>
      <c r="BR662" s="4"/>
      <c r="BS662" s="3"/>
      <c r="BZ662" s="4"/>
    </row>
    <row r="663" ht="14.25" customHeight="1">
      <c r="T663" s="3"/>
      <c r="AA663" s="4"/>
      <c r="AB663" s="4"/>
      <c r="AC663" s="3"/>
      <c r="AK663" s="4"/>
      <c r="AL663" s="3"/>
      <c r="AS663" s="4"/>
      <c r="AT663" s="4"/>
      <c r="AU663" s="3"/>
      <c r="BB663" s="4"/>
      <c r="BC663" s="3"/>
      <c r="BJ663" s="4"/>
      <c r="BK663" s="3"/>
      <c r="BR663" s="4"/>
      <c r="BS663" s="3"/>
      <c r="BZ663" s="4"/>
    </row>
    <row r="664" ht="14.25" customHeight="1">
      <c r="T664" s="3"/>
      <c r="AA664" s="4"/>
      <c r="AB664" s="4"/>
      <c r="AC664" s="3"/>
      <c r="AK664" s="4"/>
      <c r="AL664" s="3"/>
      <c r="AS664" s="4"/>
      <c r="AT664" s="4"/>
      <c r="AU664" s="3"/>
      <c r="BB664" s="4"/>
      <c r="BC664" s="3"/>
      <c r="BJ664" s="4"/>
      <c r="BK664" s="3"/>
      <c r="BR664" s="4"/>
      <c r="BS664" s="3"/>
      <c r="BZ664" s="4"/>
    </row>
    <row r="665" ht="14.25" customHeight="1">
      <c r="T665" s="3"/>
      <c r="AA665" s="4"/>
      <c r="AB665" s="4"/>
      <c r="AC665" s="3"/>
      <c r="AK665" s="4"/>
      <c r="AL665" s="3"/>
      <c r="AS665" s="4"/>
      <c r="AT665" s="4"/>
      <c r="AU665" s="3"/>
      <c r="BB665" s="4"/>
      <c r="BC665" s="3"/>
      <c r="BJ665" s="4"/>
      <c r="BK665" s="3"/>
      <c r="BR665" s="4"/>
      <c r="BS665" s="3"/>
      <c r="BZ665" s="4"/>
    </row>
    <row r="666" ht="14.25" customHeight="1">
      <c r="T666" s="3"/>
      <c r="AA666" s="4"/>
      <c r="AB666" s="4"/>
      <c r="AC666" s="3"/>
      <c r="AK666" s="4"/>
      <c r="AL666" s="3"/>
      <c r="AS666" s="4"/>
      <c r="AT666" s="4"/>
      <c r="AU666" s="3"/>
      <c r="BB666" s="4"/>
      <c r="BC666" s="3"/>
      <c r="BJ666" s="4"/>
      <c r="BK666" s="3"/>
      <c r="BR666" s="4"/>
      <c r="BS666" s="3"/>
      <c r="BZ666" s="4"/>
    </row>
    <row r="667" ht="14.25" customHeight="1">
      <c r="T667" s="3"/>
      <c r="AA667" s="4"/>
      <c r="AB667" s="4"/>
      <c r="AC667" s="3"/>
      <c r="AK667" s="4"/>
      <c r="AL667" s="3"/>
      <c r="AS667" s="4"/>
      <c r="AT667" s="4"/>
      <c r="AU667" s="3"/>
      <c r="BB667" s="4"/>
      <c r="BC667" s="3"/>
      <c r="BJ667" s="4"/>
      <c r="BK667" s="3"/>
      <c r="BR667" s="4"/>
      <c r="BS667" s="3"/>
      <c r="BZ667" s="4"/>
    </row>
    <row r="668" ht="14.25" customHeight="1">
      <c r="T668" s="3"/>
      <c r="AA668" s="4"/>
      <c r="AB668" s="4"/>
      <c r="AC668" s="3"/>
      <c r="AK668" s="4"/>
      <c r="AL668" s="3"/>
      <c r="AS668" s="4"/>
      <c r="AT668" s="4"/>
      <c r="AU668" s="3"/>
      <c r="BB668" s="4"/>
      <c r="BC668" s="3"/>
      <c r="BJ668" s="4"/>
      <c r="BK668" s="3"/>
      <c r="BR668" s="4"/>
      <c r="BS668" s="3"/>
      <c r="BZ668" s="4"/>
    </row>
    <row r="669" ht="14.25" customHeight="1">
      <c r="T669" s="3"/>
      <c r="AA669" s="4"/>
      <c r="AB669" s="4"/>
      <c r="AC669" s="3"/>
      <c r="AK669" s="4"/>
      <c r="AL669" s="3"/>
      <c r="AS669" s="4"/>
      <c r="AT669" s="4"/>
      <c r="AU669" s="3"/>
      <c r="BB669" s="4"/>
      <c r="BC669" s="3"/>
      <c r="BJ669" s="4"/>
      <c r="BK669" s="3"/>
      <c r="BR669" s="4"/>
      <c r="BS669" s="3"/>
      <c r="BZ669" s="4"/>
    </row>
    <row r="670" ht="14.25" customHeight="1">
      <c r="T670" s="3"/>
      <c r="AA670" s="4"/>
      <c r="AB670" s="4"/>
      <c r="AC670" s="3"/>
      <c r="AK670" s="4"/>
      <c r="AL670" s="3"/>
      <c r="AS670" s="4"/>
      <c r="AT670" s="4"/>
      <c r="AU670" s="3"/>
      <c r="BB670" s="4"/>
      <c r="BC670" s="3"/>
      <c r="BJ670" s="4"/>
      <c r="BK670" s="3"/>
      <c r="BR670" s="4"/>
      <c r="BS670" s="3"/>
      <c r="BZ670" s="4"/>
    </row>
    <row r="671" ht="14.25" customHeight="1">
      <c r="T671" s="3"/>
      <c r="AA671" s="4"/>
      <c r="AB671" s="4"/>
      <c r="AC671" s="3"/>
      <c r="AK671" s="4"/>
      <c r="AL671" s="3"/>
      <c r="AS671" s="4"/>
      <c r="AT671" s="4"/>
      <c r="AU671" s="3"/>
      <c r="BB671" s="4"/>
      <c r="BC671" s="3"/>
      <c r="BJ671" s="4"/>
      <c r="BK671" s="3"/>
      <c r="BR671" s="4"/>
      <c r="BS671" s="3"/>
      <c r="BZ671" s="4"/>
    </row>
    <row r="672" ht="14.25" customHeight="1">
      <c r="T672" s="3"/>
      <c r="AA672" s="4"/>
      <c r="AB672" s="4"/>
      <c r="AC672" s="3"/>
      <c r="AK672" s="4"/>
      <c r="AL672" s="3"/>
      <c r="AS672" s="4"/>
      <c r="AT672" s="4"/>
      <c r="AU672" s="3"/>
      <c r="BB672" s="4"/>
      <c r="BC672" s="3"/>
      <c r="BJ672" s="4"/>
      <c r="BK672" s="3"/>
      <c r="BR672" s="4"/>
      <c r="BS672" s="3"/>
      <c r="BZ672" s="4"/>
    </row>
    <row r="673" ht="14.25" customHeight="1">
      <c r="T673" s="3"/>
      <c r="AA673" s="4"/>
      <c r="AB673" s="4"/>
      <c r="AC673" s="3"/>
      <c r="AK673" s="4"/>
      <c r="AL673" s="3"/>
      <c r="AS673" s="4"/>
      <c r="AT673" s="4"/>
      <c r="AU673" s="3"/>
      <c r="BB673" s="4"/>
      <c r="BC673" s="3"/>
      <c r="BJ673" s="4"/>
      <c r="BK673" s="3"/>
      <c r="BR673" s="4"/>
      <c r="BS673" s="3"/>
      <c r="BZ673" s="4"/>
    </row>
    <row r="674" ht="14.25" customHeight="1">
      <c r="T674" s="3"/>
      <c r="AA674" s="4"/>
      <c r="AB674" s="4"/>
      <c r="AC674" s="3"/>
      <c r="AK674" s="4"/>
      <c r="AL674" s="3"/>
      <c r="AS674" s="4"/>
      <c r="AT674" s="4"/>
      <c r="AU674" s="3"/>
      <c r="BB674" s="4"/>
      <c r="BC674" s="3"/>
      <c r="BJ674" s="4"/>
      <c r="BK674" s="3"/>
      <c r="BR674" s="4"/>
      <c r="BS674" s="3"/>
      <c r="BZ674" s="4"/>
    </row>
    <row r="675" ht="14.25" customHeight="1">
      <c r="T675" s="3"/>
      <c r="AA675" s="4"/>
      <c r="AB675" s="4"/>
      <c r="AC675" s="3"/>
      <c r="AK675" s="4"/>
      <c r="AL675" s="3"/>
      <c r="AS675" s="4"/>
      <c r="AT675" s="4"/>
      <c r="AU675" s="3"/>
      <c r="BB675" s="4"/>
      <c r="BC675" s="3"/>
      <c r="BJ675" s="4"/>
      <c r="BK675" s="3"/>
      <c r="BR675" s="4"/>
      <c r="BS675" s="3"/>
      <c r="BZ675" s="4"/>
    </row>
    <row r="676" ht="14.25" customHeight="1">
      <c r="T676" s="3"/>
      <c r="AA676" s="4"/>
      <c r="AB676" s="4"/>
      <c r="AC676" s="3"/>
      <c r="AK676" s="4"/>
      <c r="AL676" s="3"/>
      <c r="AS676" s="4"/>
      <c r="AT676" s="4"/>
      <c r="AU676" s="3"/>
      <c r="BB676" s="4"/>
      <c r="BC676" s="3"/>
      <c r="BJ676" s="4"/>
      <c r="BK676" s="3"/>
      <c r="BR676" s="4"/>
      <c r="BS676" s="3"/>
      <c r="BZ676" s="4"/>
    </row>
    <row r="677" ht="14.25" customHeight="1">
      <c r="T677" s="3"/>
      <c r="AA677" s="4"/>
      <c r="AB677" s="4"/>
      <c r="AC677" s="3"/>
      <c r="AK677" s="4"/>
      <c r="AL677" s="3"/>
      <c r="AS677" s="4"/>
      <c r="AT677" s="4"/>
      <c r="AU677" s="3"/>
      <c r="BB677" s="4"/>
      <c r="BC677" s="3"/>
      <c r="BJ677" s="4"/>
      <c r="BK677" s="3"/>
      <c r="BR677" s="4"/>
      <c r="BS677" s="3"/>
      <c r="BZ677" s="4"/>
    </row>
    <row r="678" ht="14.25" customHeight="1">
      <c r="T678" s="3"/>
      <c r="AA678" s="4"/>
      <c r="AB678" s="4"/>
      <c r="AC678" s="3"/>
      <c r="AK678" s="4"/>
      <c r="AL678" s="3"/>
      <c r="AS678" s="4"/>
      <c r="AT678" s="4"/>
      <c r="AU678" s="3"/>
      <c r="BB678" s="4"/>
      <c r="BC678" s="3"/>
      <c r="BJ678" s="4"/>
      <c r="BK678" s="3"/>
      <c r="BR678" s="4"/>
      <c r="BS678" s="3"/>
      <c r="BZ678" s="4"/>
    </row>
    <row r="679" ht="14.25" customHeight="1">
      <c r="T679" s="3"/>
      <c r="AA679" s="4"/>
      <c r="AB679" s="4"/>
      <c r="AC679" s="3"/>
      <c r="AK679" s="4"/>
      <c r="AL679" s="3"/>
      <c r="AS679" s="4"/>
      <c r="AT679" s="4"/>
      <c r="AU679" s="3"/>
      <c r="BB679" s="4"/>
      <c r="BC679" s="3"/>
      <c r="BJ679" s="4"/>
      <c r="BK679" s="3"/>
      <c r="BR679" s="4"/>
      <c r="BS679" s="3"/>
      <c r="BZ679" s="4"/>
    </row>
    <row r="680" ht="14.25" customHeight="1">
      <c r="T680" s="3"/>
      <c r="AA680" s="4"/>
      <c r="AB680" s="4"/>
      <c r="AC680" s="3"/>
      <c r="AK680" s="4"/>
      <c r="AL680" s="3"/>
      <c r="AS680" s="4"/>
      <c r="AT680" s="4"/>
      <c r="AU680" s="3"/>
      <c r="BB680" s="4"/>
      <c r="BC680" s="3"/>
      <c r="BJ680" s="4"/>
      <c r="BK680" s="3"/>
      <c r="BR680" s="4"/>
      <c r="BS680" s="3"/>
      <c r="BZ680" s="4"/>
    </row>
    <row r="681" ht="14.25" customHeight="1">
      <c r="T681" s="3"/>
      <c r="AA681" s="4"/>
      <c r="AB681" s="4"/>
      <c r="AC681" s="3"/>
      <c r="AK681" s="4"/>
      <c r="AL681" s="3"/>
      <c r="AS681" s="4"/>
      <c r="AT681" s="4"/>
      <c r="AU681" s="3"/>
      <c r="BB681" s="4"/>
      <c r="BC681" s="3"/>
      <c r="BJ681" s="4"/>
      <c r="BK681" s="3"/>
      <c r="BR681" s="4"/>
      <c r="BS681" s="3"/>
      <c r="BZ681" s="4"/>
    </row>
    <row r="682" ht="14.25" customHeight="1">
      <c r="T682" s="3"/>
      <c r="AA682" s="4"/>
      <c r="AB682" s="4"/>
      <c r="AC682" s="3"/>
      <c r="AK682" s="4"/>
      <c r="AL682" s="3"/>
      <c r="AS682" s="4"/>
      <c r="AT682" s="4"/>
      <c r="AU682" s="3"/>
      <c r="BB682" s="4"/>
      <c r="BC682" s="3"/>
      <c r="BJ682" s="4"/>
      <c r="BK682" s="3"/>
      <c r="BR682" s="4"/>
      <c r="BS682" s="3"/>
      <c r="BZ682" s="4"/>
    </row>
    <row r="683" ht="14.25" customHeight="1">
      <c r="T683" s="3"/>
      <c r="AA683" s="4"/>
      <c r="AB683" s="4"/>
      <c r="AC683" s="3"/>
      <c r="AK683" s="4"/>
      <c r="AL683" s="3"/>
      <c r="AS683" s="4"/>
      <c r="AT683" s="4"/>
      <c r="AU683" s="3"/>
      <c r="BB683" s="4"/>
      <c r="BC683" s="3"/>
      <c r="BJ683" s="4"/>
      <c r="BK683" s="3"/>
      <c r="BR683" s="4"/>
      <c r="BS683" s="3"/>
      <c r="BZ683" s="4"/>
    </row>
    <row r="684" ht="14.25" customHeight="1">
      <c r="T684" s="3"/>
      <c r="AA684" s="4"/>
      <c r="AB684" s="4"/>
      <c r="AC684" s="3"/>
      <c r="AK684" s="4"/>
      <c r="AL684" s="3"/>
      <c r="AS684" s="4"/>
      <c r="AT684" s="4"/>
      <c r="AU684" s="3"/>
      <c r="BB684" s="4"/>
      <c r="BC684" s="3"/>
      <c r="BJ684" s="4"/>
      <c r="BK684" s="3"/>
      <c r="BR684" s="4"/>
      <c r="BS684" s="3"/>
      <c r="BZ684" s="4"/>
    </row>
    <row r="685" ht="14.25" customHeight="1">
      <c r="T685" s="3"/>
      <c r="AA685" s="4"/>
      <c r="AB685" s="4"/>
      <c r="AC685" s="3"/>
      <c r="AK685" s="4"/>
      <c r="AL685" s="3"/>
      <c r="AS685" s="4"/>
      <c r="AT685" s="4"/>
      <c r="AU685" s="3"/>
      <c r="BB685" s="4"/>
      <c r="BC685" s="3"/>
      <c r="BJ685" s="4"/>
      <c r="BK685" s="3"/>
      <c r="BR685" s="4"/>
      <c r="BS685" s="3"/>
      <c r="BZ685" s="4"/>
    </row>
    <row r="686" ht="14.25" customHeight="1">
      <c r="T686" s="3"/>
      <c r="AA686" s="4"/>
      <c r="AB686" s="4"/>
      <c r="AC686" s="3"/>
      <c r="AK686" s="4"/>
      <c r="AL686" s="3"/>
      <c r="AS686" s="4"/>
      <c r="AT686" s="4"/>
      <c r="AU686" s="3"/>
      <c r="BB686" s="4"/>
      <c r="BC686" s="3"/>
      <c r="BJ686" s="4"/>
      <c r="BK686" s="3"/>
      <c r="BR686" s="4"/>
      <c r="BS686" s="3"/>
      <c r="BZ686" s="4"/>
    </row>
    <row r="687" ht="14.25" customHeight="1">
      <c r="T687" s="3"/>
      <c r="AA687" s="4"/>
      <c r="AB687" s="4"/>
      <c r="AC687" s="3"/>
      <c r="AK687" s="4"/>
      <c r="AL687" s="3"/>
      <c r="AS687" s="4"/>
      <c r="AT687" s="4"/>
      <c r="AU687" s="3"/>
      <c r="BB687" s="4"/>
      <c r="BC687" s="3"/>
      <c r="BJ687" s="4"/>
      <c r="BK687" s="3"/>
      <c r="BR687" s="4"/>
      <c r="BS687" s="3"/>
      <c r="BZ687" s="4"/>
    </row>
    <row r="688" ht="14.25" customHeight="1">
      <c r="T688" s="3"/>
      <c r="AA688" s="4"/>
      <c r="AB688" s="4"/>
      <c r="AC688" s="3"/>
      <c r="AK688" s="4"/>
      <c r="AL688" s="3"/>
      <c r="AS688" s="4"/>
      <c r="AT688" s="4"/>
      <c r="AU688" s="3"/>
      <c r="BB688" s="4"/>
      <c r="BC688" s="3"/>
      <c r="BJ688" s="4"/>
      <c r="BK688" s="3"/>
      <c r="BR688" s="4"/>
      <c r="BS688" s="3"/>
      <c r="BZ688" s="4"/>
    </row>
    <row r="689" ht="14.25" customHeight="1">
      <c r="T689" s="3"/>
      <c r="AA689" s="4"/>
      <c r="AB689" s="4"/>
      <c r="AC689" s="3"/>
      <c r="AK689" s="4"/>
      <c r="AL689" s="3"/>
      <c r="AS689" s="4"/>
      <c r="AT689" s="4"/>
      <c r="AU689" s="3"/>
      <c r="BB689" s="4"/>
      <c r="BC689" s="3"/>
      <c r="BJ689" s="4"/>
      <c r="BK689" s="3"/>
      <c r="BR689" s="4"/>
      <c r="BS689" s="3"/>
      <c r="BZ689" s="4"/>
    </row>
    <row r="690" ht="14.25" customHeight="1">
      <c r="T690" s="3"/>
      <c r="AA690" s="4"/>
      <c r="AB690" s="4"/>
      <c r="AC690" s="3"/>
      <c r="AK690" s="4"/>
      <c r="AL690" s="3"/>
      <c r="AS690" s="4"/>
      <c r="AT690" s="4"/>
      <c r="AU690" s="3"/>
      <c r="BB690" s="4"/>
      <c r="BC690" s="3"/>
      <c r="BJ690" s="4"/>
      <c r="BK690" s="3"/>
      <c r="BR690" s="4"/>
      <c r="BS690" s="3"/>
      <c r="BZ690" s="4"/>
    </row>
    <row r="691" ht="14.25" customHeight="1">
      <c r="T691" s="3"/>
      <c r="AA691" s="4"/>
      <c r="AB691" s="4"/>
      <c r="AC691" s="3"/>
      <c r="AK691" s="4"/>
      <c r="AL691" s="3"/>
      <c r="AS691" s="4"/>
      <c r="AT691" s="4"/>
      <c r="AU691" s="3"/>
      <c r="BB691" s="4"/>
      <c r="BC691" s="3"/>
      <c r="BJ691" s="4"/>
      <c r="BK691" s="3"/>
      <c r="BR691" s="4"/>
      <c r="BS691" s="3"/>
      <c r="BZ691" s="4"/>
    </row>
    <row r="692" ht="14.25" customHeight="1">
      <c r="T692" s="3"/>
      <c r="AA692" s="4"/>
      <c r="AB692" s="4"/>
      <c r="AC692" s="3"/>
      <c r="AK692" s="4"/>
      <c r="AL692" s="3"/>
      <c r="AS692" s="4"/>
      <c r="AT692" s="4"/>
      <c r="AU692" s="3"/>
      <c r="BB692" s="4"/>
      <c r="BC692" s="3"/>
      <c r="BJ692" s="4"/>
      <c r="BK692" s="3"/>
      <c r="BR692" s="4"/>
      <c r="BS692" s="3"/>
      <c r="BZ692" s="4"/>
    </row>
    <row r="693" ht="14.25" customHeight="1">
      <c r="T693" s="3"/>
      <c r="AA693" s="4"/>
      <c r="AB693" s="4"/>
      <c r="AC693" s="3"/>
      <c r="AK693" s="4"/>
      <c r="AL693" s="3"/>
      <c r="AS693" s="4"/>
      <c r="AT693" s="4"/>
      <c r="AU693" s="3"/>
      <c r="BB693" s="4"/>
      <c r="BC693" s="3"/>
      <c r="BJ693" s="4"/>
      <c r="BK693" s="3"/>
      <c r="BR693" s="4"/>
      <c r="BS693" s="3"/>
      <c r="BZ693" s="4"/>
    </row>
    <row r="694" ht="14.25" customHeight="1">
      <c r="T694" s="3"/>
      <c r="AA694" s="4"/>
      <c r="AB694" s="4"/>
      <c r="AC694" s="3"/>
      <c r="AK694" s="4"/>
      <c r="AL694" s="3"/>
      <c r="AS694" s="4"/>
      <c r="AT694" s="4"/>
      <c r="AU694" s="3"/>
      <c r="BB694" s="4"/>
      <c r="BC694" s="3"/>
      <c r="BJ694" s="4"/>
      <c r="BK694" s="3"/>
      <c r="BR694" s="4"/>
      <c r="BS694" s="3"/>
      <c r="BZ694" s="4"/>
    </row>
    <row r="695" ht="14.25" customHeight="1">
      <c r="T695" s="3"/>
      <c r="AA695" s="4"/>
      <c r="AB695" s="4"/>
      <c r="AC695" s="3"/>
      <c r="AK695" s="4"/>
      <c r="AL695" s="3"/>
      <c r="AS695" s="4"/>
      <c r="AT695" s="4"/>
      <c r="AU695" s="3"/>
      <c r="BB695" s="4"/>
      <c r="BC695" s="3"/>
      <c r="BJ695" s="4"/>
      <c r="BK695" s="3"/>
      <c r="BR695" s="4"/>
      <c r="BS695" s="3"/>
      <c r="BZ695" s="4"/>
    </row>
    <row r="696" ht="14.25" customHeight="1">
      <c r="T696" s="3"/>
      <c r="AA696" s="4"/>
      <c r="AB696" s="4"/>
      <c r="AC696" s="3"/>
      <c r="AK696" s="4"/>
      <c r="AL696" s="3"/>
      <c r="AS696" s="4"/>
      <c r="AT696" s="4"/>
      <c r="AU696" s="3"/>
      <c r="BB696" s="4"/>
      <c r="BC696" s="3"/>
      <c r="BJ696" s="4"/>
      <c r="BK696" s="3"/>
      <c r="BR696" s="4"/>
      <c r="BS696" s="3"/>
      <c r="BZ696" s="4"/>
    </row>
    <row r="697" ht="14.25" customHeight="1">
      <c r="T697" s="3"/>
      <c r="AA697" s="4"/>
      <c r="AB697" s="4"/>
      <c r="AC697" s="3"/>
      <c r="AK697" s="4"/>
      <c r="AL697" s="3"/>
      <c r="AS697" s="4"/>
      <c r="AT697" s="4"/>
      <c r="AU697" s="3"/>
      <c r="BB697" s="4"/>
      <c r="BC697" s="3"/>
      <c r="BJ697" s="4"/>
      <c r="BK697" s="3"/>
      <c r="BR697" s="4"/>
      <c r="BS697" s="3"/>
      <c r="BZ697" s="4"/>
    </row>
    <row r="698" ht="14.25" customHeight="1">
      <c r="T698" s="3"/>
      <c r="AA698" s="4"/>
      <c r="AB698" s="4"/>
      <c r="AC698" s="3"/>
      <c r="AK698" s="4"/>
      <c r="AL698" s="3"/>
      <c r="AS698" s="4"/>
      <c r="AT698" s="4"/>
      <c r="AU698" s="3"/>
      <c r="BB698" s="4"/>
      <c r="BC698" s="3"/>
      <c r="BJ698" s="4"/>
      <c r="BK698" s="3"/>
      <c r="BR698" s="4"/>
      <c r="BS698" s="3"/>
      <c r="BZ698" s="4"/>
    </row>
    <row r="699" ht="14.25" customHeight="1">
      <c r="T699" s="3"/>
      <c r="AA699" s="4"/>
      <c r="AB699" s="4"/>
      <c r="AC699" s="3"/>
      <c r="AK699" s="4"/>
      <c r="AL699" s="3"/>
      <c r="AS699" s="4"/>
      <c r="AT699" s="4"/>
      <c r="AU699" s="3"/>
      <c r="BB699" s="4"/>
      <c r="BC699" s="3"/>
      <c r="BJ699" s="4"/>
      <c r="BK699" s="3"/>
      <c r="BR699" s="4"/>
      <c r="BS699" s="3"/>
      <c r="BZ699" s="4"/>
    </row>
    <row r="700" ht="14.25" customHeight="1">
      <c r="T700" s="3"/>
      <c r="AA700" s="4"/>
      <c r="AB700" s="4"/>
      <c r="AC700" s="3"/>
      <c r="AK700" s="4"/>
      <c r="AL700" s="3"/>
      <c r="AS700" s="4"/>
      <c r="AT700" s="4"/>
      <c r="AU700" s="3"/>
      <c r="BB700" s="4"/>
      <c r="BC700" s="3"/>
      <c r="BJ700" s="4"/>
      <c r="BK700" s="3"/>
      <c r="BR700" s="4"/>
      <c r="BS700" s="3"/>
      <c r="BZ700" s="4"/>
    </row>
    <row r="701" ht="14.25" customHeight="1">
      <c r="T701" s="3"/>
      <c r="AA701" s="4"/>
      <c r="AB701" s="4"/>
      <c r="AC701" s="3"/>
      <c r="AK701" s="4"/>
      <c r="AL701" s="3"/>
      <c r="AS701" s="4"/>
      <c r="AT701" s="4"/>
      <c r="AU701" s="3"/>
      <c r="BB701" s="4"/>
      <c r="BC701" s="3"/>
      <c r="BJ701" s="4"/>
      <c r="BK701" s="3"/>
      <c r="BR701" s="4"/>
      <c r="BS701" s="3"/>
      <c r="BZ701" s="4"/>
    </row>
    <row r="702" ht="14.25" customHeight="1">
      <c r="T702" s="3"/>
      <c r="AA702" s="4"/>
      <c r="AB702" s="4"/>
      <c r="AC702" s="3"/>
      <c r="AK702" s="4"/>
      <c r="AL702" s="3"/>
      <c r="AS702" s="4"/>
      <c r="AT702" s="4"/>
      <c r="AU702" s="3"/>
      <c r="BB702" s="4"/>
      <c r="BC702" s="3"/>
      <c r="BJ702" s="4"/>
      <c r="BK702" s="3"/>
      <c r="BR702" s="4"/>
      <c r="BS702" s="3"/>
      <c r="BZ702" s="4"/>
    </row>
    <row r="703" ht="14.25" customHeight="1">
      <c r="T703" s="3"/>
      <c r="AA703" s="4"/>
      <c r="AB703" s="4"/>
      <c r="AC703" s="3"/>
      <c r="AK703" s="4"/>
      <c r="AL703" s="3"/>
      <c r="AS703" s="4"/>
      <c r="AT703" s="4"/>
      <c r="AU703" s="3"/>
      <c r="BB703" s="4"/>
      <c r="BC703" s="3"/>
      <c r="BJ703" s="4"/>
      <c r="BK703" s="3"/>
      <c r="BR703" s="4"/>
      <c r="BS703" s="3"/>
      <c r="BZ703" s="4"/>
    </row>
    <row r="704" ht="14.25" customHeight="1">
      <c r="T704" s="3"/>
      <c r="AA704" s="4"/>
      <c r="AB704" s="4"/>
      <c r="AC704" s="3"/>
      <c r="AK704" s="4"/>
      <c r="AL704" s="3"/>
      <c r="AS704" s="4"/>
      <c r="AT704" s="4"/>
      <c r="AU704" s="3"/>
      <c r="BB704" s="4"/>
      <c r="BC704" s="3"/>
      <c r="BJ704" s="4"/>
      <c r="BK704" s="3"/>
      <c r="BR704" s="4"/>
      <c r="BS704" s="3"/>
      <c r="BZ704" s="4"/>
    </row>
    <row r="705" ht="14.25" customHeight="1">
      <c r="T705" s="3"/>
      <c r="AA705" s="4"/>
      <c r="AB705" s="4"/>
      <c r="AC705" s="3"/>
      <c r="AK705" s="4"/>
      <c r="AL705" s="3"/>
      <c r="AS705" s="4"/>
      <c r="AT705" s="4"/>
      <c r="AU705" s="3"/>
      <c r="BB705" s="4"/>
      <c r="BC705" s="3"/>
      <c r="BJ705" s="4"/>
      <c r="BK705" s="3"/>
      <c r="BR705" s="4"/>
      <c r="BS705" s="3"/>
      <c r="BZ705" s="4"/>
    </row>
    <row r="706" ht="14.25" customHeight="1">
      <c r="T706" s="3"/>
      <c r="AA706" s="4"/>
      <c r="AB706" s="4"/>
      <c r="AC706" s="3"/>
      <c r="AK706" s="4"/>
      <c r="AL706" s="3"/>
      <c r="AS706" s="4"/>
      <c r="AT706" s="4"/>
      <c r="AU706" s="3"/>
      <c r="BB706" s="4"/>
      <c r="BC706" s="3"/>
      <c r="BJ706" s="4"/>
      <c r="BK706" s="3"/>
      <c r="BR706" s="4"/>
      <c r="BS706" s="3"/>
      <c r="BZ706" s="4"/>
    </row>
    <row r="707" ht="14.25" customHeight="1">
      <c r="T707" s="3"/>
      <c r="AA707" s="4"/>
      <c r="AB707" s="4"/>
      <c r="AC707" s="3"/>
      <c r="AK707" s="4"/>
      <c r="AL707" s="3"/>
      <c r="AS707" s="4"/>
      <c r="AT707" s="4"/>
      <c r="AU707" s="3"/>
      <c r="BB707" s="4"/>
      <c r="BC707" s="3"/>
      <c r="BJ707" s="4"/>
      <c r="BK707" s="3"/>
      <c r="BR707" s="4"/>
      <c r="BS707" s="3"/>
      <c r="BZ707" s="4"/>
    </row>
    <row r="708" ht="14.25" customHeight="1">
      <c r="T708" s="3"/>
      <c r="AA708" s="4"/>
      <c r="AB708" s="4"/>
      <c r="AC708" s="3"/>
      <c r="AK708" s="4"/>
      <c r="AL708" s="3"/>
      <c r="AS708" s="4"/>
      <c r="AT708" s="4"/>
      <c r="AU708" s="3"/>
      <c r="BB708" s="4"/>
      <c r="BC708" s="3"/>
      <c r="BJ708" s="4"/>
      <c r="BK708" s="3"/>
      <c r="BR708" s="4"/>
      <c r="BS708" s="3"/>
      <c r="BZ708" s="4"/>
    </row>
    <row r="709" ht="14.25" customHeight="1">
      <c r="T709" s="3"/>
      <c r="AA709" s="4"/>
      <c r="AB709" s="4"/>
      <c r="AC709" s="3"/>
      <c r="AK709" s="4"/>
      <c r="AL709" s="3"/>
      <c r="AS709" s="4"/>
      <c r="AT709" s="4"/>
      <c r="AU709" s="3"/>
      <c r="BB709" s="4"/>
      <c r="BC709" s="3"/>
      <c r="BJ709" s="4"/>
      <c r="BK709" s="3"/>
      <c r="BR709" s="4"/>
      <c r="BS709" s="3"/>
      <c r="BZ709" s="4"/>
    </row>
    <row r="710" ht="14.25" customHeight="1">
      <c r="T710" s="3"/>
      <c r="AA710" s="4"/>
      <c r="AB710" s="4"/>
      <c r="AC710" s="3"/>
      <c r="AK710" s="4"/>
      <c r="AL710" s="3"/>
      <c r="AS710" s="4"/>
      <c r="AT710" s="4"/>
      <c r="AU710" s="3"/>
      <c r="BB710" s="4"/>
      <c r="BC710" s="3"/>
      <c r="BJ710" s="4"/>
      <c r="BK710" s="3"/>
      <c r="BR710" s="4"/>
      <c r="BS710" s="3"/>
      <c r="BZ710" s="4"/>
    </row>
    <row r="711" ht="14.25" customHeight="1">
      <c r="T711" s="3"/>
      <c r="AA711" s="4"/>
      <c r="AB711" s="4"/>
      <c r="AC711" s="3"/>
      <c r="AK711" s="4"/>
      <c r="AL711" s="3"/>
      <c r="AS711" s="4"/>
      <c r="AT711" s="4"/>
      <c r="AU711" s="3"/>
      <c r="BB711" s="4"/>
      <c r="BC711" s="3"/>
      <c r="BJ711" s="4"/>
      <c r="BK711" s="3"/>
      <c r="BR711" s="4"/>
      <c r="BS711" s="3"/>
      <c r="BZ711" s="4"/>
    </row>
    <row r="712" ht="14.25" customHeight="1">
      <c r="T712" s="3"/>
      <c r="AA712" s="4"/>
      <c r="AB712" s="4"/>
      <c r="AC712" s="3"/>
      <c r="AK712" s="4"/>
      <c r="AL712" s="3"/>
      <c r="AS712" s="4"/>
      <c r="AT712" s="4"/>
      <c r="AU712" s="3"/>
      <c r="BB712" s="4"/>
      <c r="BC712" s="3"/>
      <c r="BJ712" s="4"/>
      <c r="BK712" s="3"/>
      <c r="BR712" s="4"/>
      <c r="BS712" s="3"/>
      <c r="BZ712" s="4"/>
    </row>
    <row r="713" ht="14.25" customHeight="1">
      <c r="T713" s="3"/>
      <c r="AA713" s="4"/>
      <c r="AB713" s="4"/>
      <c r="AC713" s="3"/>
      <c r="AK713" s="4"/>
      <c r="AL713" s="3"/>
      <c r="AS713" s="4"/>
      <c r="AT713" s="4"/>
      <c r="AU713" s="3"/>
      <c r="BB713" s="4"/>
      <c r="BC713" s="3"/>
      <c r="BJ713" s="4"/>
      <c r="BK713" s="3"/>
      <c r="BR713" s="4"/>
      <c r="BS713" s="3"/>
      <c r="BZ713" s="4"/>
    </row>
    <row r="714" ht="14.25" customHeight="1">
      <c r="T714" s="3"/>
      <c r="AA714" s="4"/>
      <c r="AB714" s="4"/>
      <c r="AC714" s="3"/>
      <c r="AK714" s="4"/>
      <c r="AL714" s="3"/>
      <c r="AS714" s="4"/>
      <c r="AT714" s="4"/>
      <c r="AU714" s="3"/>
      <c r="BB714" s="4"/>
      <c r="BC714" s="3"/>
      <c r="BJ714" s="4"/>
      <c r="BK714" s="3"/>
      <c r="BR714" s="4"/>
      <c r="BS714" s="3"/>
      <c r="BZ714" s="4"/>
    </row>
    <row r="715" ht="14.25" customHeight="1">
      <c r="T715" s="3"/>
      <c r="AA715" s="4"/>
      <c r="AB715" s="4"/>
      <c r="AC715" s="3"/>
      <c r="AK715" s="4"/>
      <c r="AL715" s="3"/>
      <c r="AS715" s="4"/>
      <c r="AT715" s="4"/>
      <c r="AU715" s="3"/>
      <c r="BB715" s="4"/>
      <c r="BC715" s="3"/>
      <c r="BJ715" s="4"/>
      <c r="BK715" s="3"/>
      <c r="BR715" s="4"/>
      <c r="BS715" s="3"/>
      <c r="BZ715" s="4"/>
    </row>
    <row r="716" ht="14.25" customHeight="1">
      <c r="T716" s="3"/>
      <c r="AA716" s="4"/>
      <c r="AB716" s="4"/>
      <c r="AC716" s="3"/>
      <c r="AK716" s="4"/>
      <c r="AL716" s="3"/>
      <c r="AS716" s="4"/>
      <c r="AT716" s="4"/>
      <c r="AU716" s="3"/>
      <c r="BB716" s="4"/>
      <c r="BC716" s="3"/>
      <c r="BJ716" s="4"/>
      <c r="BK716" s="3"/>
      <c r="BR716" s="4"/>
      <c r="BS716" s="3"/>
      <c r="BZ716" s="4"/>
    </row>
    <row r="717" ht="14.25" customHeight="1">
      <c r="T717" s="3"/>
      <c r="AA717" s="4"/>
      <c r="AB717" s="4"/>
      <c r="AC717" s="3"/>
      <c r="AK717" s="4"/>
      <c r="AL717" s="3"/>
      <c r="AS717" s="4"/>
      <c r="AT717" s="4"/>
      <c r="AU717" s="3"/>
      <c r="BB717" s="4"/>
      <c r="BC717" s="3"/>
      <c r="BJ717" s="4"/>
      <c r="BK717" s="3"/>
      <c r="BR717" s="4"/>
      <c r="BS717" s="3"/>
      <c r="BZ717" s="4"/>
    </row>
    <row r="718" ht="14.25" customHeight="1">
      <c r="T718" s="3"/>
      <c r="AA718" s="4"/>
      <c r="AB718" s="4"/>
      <c r="AC718" s="3"/>
      <c r="AK718" s="4"/>
      <c r="AL718" s="3"/>
      <c r="AS718" s="4"/>
      <c r="AT718" s="4"/>
      <c r="AU718" s="3"/>
      <c r="BB718" s="4"/>
      <c r="BC718" s="3"/>
      <c r="BJ718" s="4"/>
      <c r="BK718" s="3"/>
      <c r="BR718" s="4"/>
      <c r="BS718" s="3"/>
      <c r="BZ718" s="4"/>
    </row>
    <row r="719" ht="14.25" customHeight="1">
      <c r="T719" s="3"/>
      <c r="AA719" s="4"/>
      <c r="AB719" s="4"/>
      <c r="AC719" s="3"/>
      <c r="AK719" s="4"/>
      <c r="AL719" s="3"/>
      <c r="AS719" s="4"/>
      <c r="AT719" s="4"/>
      <c r="AU719" s="3"/>
      <c r="BB719" s="4"/>
      <c r="BC719" s="3"/>
      <c r="BJ719" s="4"/>
      <c r="BK719" s="3"/>
      <c r="BR719" s="4"/>
      <c r="BS719" s="3"/>
      <c r="BZ719" s="4"/>
    </row>
    <row r="720" ht="14.25" customHeight="1">
      <c r="T720" s="3"/>
      <c r="AA720" s="4"/>
      <c r="AB720" s="4"/>
      <c r="AC720" s="3"/>
      <c r="AK720" s="4"/>
      <c r="AL720" s="3"/>
      <c r="AS720" s="4"/>
      <c r="AT720" s="4"/>
      <c r="AU720" s="3"/>
      <c r="BB720" s="4"/>
      <c r="BC720" s="3"/>
      <c r="BJ720" s="4"/>
      <c r="BK720" s="3"/>
      <c r="BR720" s="4"/>
      <c r="BS720" s="3"/>
      <c r="BZ720" s="4"/>
    </row>
    <row r="721" ht="14.25" customHeight="1">
      <c r="T721" s="3"/>
      <c r="AA721" s="4"/>
      <c r="AB721" s="4"/>
      <c r="AC721" s="3"/>
      <c r="AK721" s="4"/>
      <c r="AL721" s="3"/>
      <c r="AS721" s="4"/>
      <c r="AT721" s="4"/>
      <c r="AU721" s="3"/>
      <c r="BB721" s="4"/>
      <c r="BC721" s="3"/>
      <c r="BJ721" s="4"/>
      <c r="BK721" s="3"/>
      <c r="BR721" s="4"/>
      <c r="BS721" s="3"/>
      <c r="BZ721" s="4"/>
    </row>
    <row r="722" ht="14.25" customHeight="1">
      <c r="T722" s="3"/>
      <c r="AA722" s="4"/>
      <c r="AB722" s="4"/>
      <c r="AC722" s="3"/>
      <c r="AK722" s="4"/>
      <c r="AL722" s="3"/>
      <c r="AS722" s="4"/>
      <c r="AT722" s="4"/>
      <c r="AU722" s="3"/>
      <c r="BB722" s="4"/>
      <c r="BC722" s="3"/>
      <c r="BJ722" s="4"/>
      <c r="BK722" s="3"/>
      <c r="BR722" s="4"/>
      <c r="BS722" s="3"/>
      <c r="BZ722" s="4"/>
    </row>
    <row r="723" ht="14.25" customHeight="1">
      <c r="T723" s="3"/>
      <c r="AA723" s="4"/>
      <c r="AB723" s="4"/>
      <c r="AC723" s="3"/>
      <c r="AK723" s="4"/>
      <c r="AL723" s="3"/>
      <c r="AS723" s="4"/>
      <c r="AT723" s="4"/>
      <c r="AU723" s="3"/>
      <c r="BB723" s="4"/>
      <c r="BC723" s="3"/>
      <c r="BJ723" s="4"/>
      <c r="BK723" s="3"/>
      <c r="BR723" s="4"/>
      <c r="BS723" s="3"/>
      <c r="BZ723" s="4"/>
    </row>
    <row r="724" ht="14.25" customHeight="1">
      <c r="T724" s="3"/>
      <c r="AA724" s="4"/>
      <c r="AB724" s="4"/>
      <c r="AC724" s="3"/>
      <c r="AK724" s="4"/>
      <c r="AL724" s="3"/>
      <c r="AS724" s="4"/>
      <c r="AT724" s="4"/>
      <c r="AU724" s="3"/>
      <c r="BB724" s="4"/>
      <c r="BC724" s="3"/>
      <c r="BJ724" s="4"/>
      <c r="BK724" s="3"/>
      <c r="BR724" s="4"/>
      <c r="BS724" s="3"/>
      <c r="BZ724" s="4"/>
    </row>
    <row r="725" ht="14.25" customHeight="1">
      <c r="T725" s="3"/>
      <c r="AA725" s="4"/>
      <c r="AB725" s="4"/>
      <c r="AC725" s="3"/>
      <c r="AK725" s="4"/>
      <c r="AL725" s="3"/>
      <c r="AS725" s="4"/>
      <c r="AT725" s="4"/>
      <c r="AU725" s="3"/>
      <c r="BB725" s="4"/>
      <c r="BC725" s="3"/>
      <c r="BJ725" s="4"/>
      <c r="BK725" s="3"/>
      <c r="BR725" s="4"/>
      <c r="BS725" s="3"/>
      <c r="BZ725" s="4"/>
    </row>
    <row r="726" ht="14.25" customHeight="1">
      <c r="T726" s="3"/>
      <c r="AA726" s="4"/>
      <c r="AB726" s="4"/>
      <c r="AC726" s="3"/>
      <c r="AK726" s="4"/>
      <c r="AL726" s="3"/>
      <c r="AS726" s="4"/>
      <c r="AT726" s="4"/>
      <c r="AU726" s="3"/>
      <c r="BB726" s="4"/>
      <c r="BC726" s="3"/>
      <c r="BJ726" s="4"/>
      <c r="BK726" s="3"/>
      <c r="BR726" s="4"/>
      <c r="BS726" s="3"/>
      <c r="BZ726" s="4"/>
    </row>
    <row r="727" ht="14.25" customHeight="1">
      <c r="T727" s="3"/>
      <c r="AA727" s="4"/>
      <c r="AB727" s="4"/>
      <c r="AC727" s="3"/>
      <c r="AK727" s="4"/>
      <c r="AL727" s="3"/>
      <c r="AS727" s="4"/>
      <c r="AT727" s="4"/>
      <c r="AU727" s="3"/>
      <c r="BB727" s="4"/>
      <c r="BC727" s="3"/>
      <c r="BJ727" s="4"/>
      <c r="BK727" s="3"/>
      <c r="BR727" s="4"/>
      <c r="BS727" s="3"/>
      <c r="BZ727" s="4"/>
    </row>
    <row r="728" ht="14.25" customHeight="1">
      <c r="T728" s="3"/>
      <c r="AA728" s="4"/>
      <c r="AB728" s="4"/>
      <c r="AC728" s="3"/>
      <c r="AK728" s="4"/>
      <c r="AL728" s="3"/>
      <c r="AS728" s="4"/>
      <c r="AT728" s="4"/>
      <c r="AU728" s="3"/>
      <c r="BB728" s="4"/>
      <c r="BC728" s="3"/>
      <c r="BJ728" s="4"/>
      <c r="BK728" s="3"/>
      <c r="BR728" s="4"/>
      <c r="BS728" s="3"/>
      <c r="BZ728" s="4"/>
    </row>
    <row r="729" ht="14.25" customHeight="1">
      <c r="T729" s="3"/>
      <c r="AA729" s="4"/>
      <c r="AB729" s="4"/>
      <c r="AC729" s="3"/>
      <c r="AK729" s="4"/>
      <c r="AL729" s="3"/>
      <c r="AS729" s="4"/>
      <c r="AT729" s="4"/>
      <c r="AU729" s="3"/>
      <c r="BB729" s="4"/>
      <c r="BC729" s="3"/>
      <c r="BJ729" s="4"/>
      <c r="BK729" s="3"/>
      <c r="BR729" s="4"/>
      <c r="BS729" s="3"/>
      <c r="BZ729" s="4"/>
    </row>
    <row r="730" ht="14.25" customHeight="1">
      <c r="T730" s="3"/>
      <c r="AA730" s="4"/>
      <c r="AB730" s="4"/>
      <c r="AC730" s="3"/>
      <c r="AK730" s="4"/>
      <c r="AL730" s="3"/>
      <c r="AS730" s="4"/>
      <c r="AT730" s="4"/>
      <c r="AU730" s="3"/>
      <c r="BB730" s="4"/>
      <c r="BC730" s="3"/>
      <c r="BJ730" s="4"/>
      <c r="BK730" s="3"/>
      <c r="BR730" s="4"/>
      <c r="BS730" s="3"/>
      <c r="BZ730" s="4"/>
    </row>
    <row r="731" ht="14.25" customHeight="1">
      <c r="T731" s="3"/>
      <c r="AA731" s="4"/>
      <c r="AB731" s="4"/>
      <c r="AC731" s="3"/>
      <c r="AK731" s="4"/>
      <c r="AL731" s="3"/>
      <c r="AS731" s="4"/>
      <c r="AT731" s="4"/>
      <c r="AU731" s="3"/>
      <c r="BB731" s="4"/>
      <c r="BC731" s="3"/>
      <c r="BJ731" s="4"/>
      <c r="BK731" s="3"/>
      <c r="BR731" s="4"/>
      <c r="BS731" s="3"/>
      <c r="BZ731" s="4"/>
    </row>
    <row r="732" ht="14.25" customHeight="1">
      <c r="T732" s="3"/>
      <c r="AA732" s="4"/>
      <c r="AB732" s="4"/>
      <c r="AC732" s="3"/>
      <c r="AK732" s="4"/>
      <c r="AL732" s="3"/>
      <c r="AS732" s="4"/>
      <c r="AT732" s="4"/>
      <c r="AU732" s="3"/>
      <c r="BB732" s="4"/>
      <c r="BC732" s="3"/>
      <c r="BJ732" s="4"/>
      <c r="BK732" s="3"/>
      <c r="BR732" s="4"/>
      <c r="BS732" s="3"/>
      <c r="BZ732" s="4"/>
    </row>
    <row r="733" ht="14.25" customHeight="1">
      <c r="T733" s="3"/>
      <c r="AA733" s="4"/>
      <c r="AB733" s="4"/>
      <c r="AC733" s="3"/>
      <c r="AK733" s="4"/>
      <c r="AL733" s="3"/>
      <c r="AS733" s="4"/>
      <c r="AT733" s="4"/>
      <c r="AU733" s="3"/>
      <c r="BB733" s="4"/>
      <c r="BC733" s="3"/>
      <c r="BJ733" s="4"/>
      <c r="BK733" s="3"/>
      <c r="BR733" s="4"/>
      <c r="BS733" s="3"/>
      <c r="BZ733" s="4"/>
    </row>
    <row r="734" ht="14.25" customHeight="1">
      <c r="T734" s="3"/>
      <c r="AA734" s="4"/>
      <c r="AB734" s="4"/>
      <c r="AC734" s="3"/>
      <c r="AK734" s="4"/>
      <c r="AL734" s="3"/>
      <c r="AS734" s="4"/>
      <c r="AT734" s="4"/>
      <c r="AU734" s="3"/>
      <c r="BB734" s="4"/>
      <c r="BC734" s="3"/>
      <c r="BJ734" s="4"/>
      <c r="BK734" s="3"/>
      <c r="BR734" s="4"/>
      <c r="BS734" s="3"/>
      <c r="BZ734" s="4"/>
    </row>
    <row r="735" ht="14.25" customHeight="1">
      <c r="T735" s="3"/>
      <c r="AA735" s="4"/>
      <c r="AB735" s="4"/>
      <c r="AC735" s="3"/>
      <c r="AK735" s="4"/>
      <c r="AL735" s="3"/>
      <c r="AS735" s="4"/>
      <c r="AT735" s="4"/>
      <c r="AU735" s="3"/>
      <c r="BB735" s="4"/>
      <c r="BC735" s="3"/>
      <c r="BJ735" s="4"/>
      <c r="BK735" s="3"/>
      <c r="BR735" s="4"/>
      <c r="BS735" s="3"/>
      <c r="BZ735" s="4"/>
    </row>
    <row r="736" ht="14.25" customHeight="1">
      <c r="T736" s="3"/>
      <c r="AA736" s="4"/>
      <c r="AB736" s="4"/>
      <c r="AC736" s="3"/>
      <c r="AK736" s="4"/>
      <c r="AL736" s="3"/>
      <c r="AS736" s="4"/>
      <c r="AT736" s="4"/>
      <c r="AU736" s="3"/>
      <c r="BB736" s="4"/>
      <c r="BC736" s="3"/>
      <c r="BJ736" s="4"/>
      <c r="BK736" s="3"/>
      <c r="BR736" s="4"/>
      <c r="BS736" s="3"/>
      <c r="BZ736" s="4"/>
    </row>
    <row r="737" ht="14.25" customHeight="1">
      <c r="T737" s="3"/>
      <c r="AA737" s="4"/>
      <c r="AB737" s="4"/>
      <c r="AC737" s="3"/>
      <c r="AK737" s="4"/>
      <c r="AL737" s="3"/>
      <c r="AS737" s="4"/>
      <c r="AT737" s="4"/>
      <c r="AU737" s="3"/>
      <c r="BB737" s="4"/>
      <c r="BC737" s="3"/>
      <c r="BJ737" s="4"/>
      <c r="BK737" s="3"/>
      <c r="BR737" s="4"/>
      <c r="BS737" s="3"/>
      <c r="BZ737" s="4"/>
    </row>
    <row r="738" ht="14.25" customHeight="1">
      <c r="T738" s="3"/>
      <c r="AA738" s="4"/>
      <c r="AB738" s="4"/>
      <c r="AC738" s="3"/>
      <c r="AK738" s="4"/>
      <c r="AL738" s="3"/>
      <c r="AS738" s="4"/>
      <c r="AT738" s="4"/>
      <c r="AU738" s="3"/>
      <c r="BB738" s="4"/>
      <c r="BC738" s="3"/>
      <c r="BJ738" s="4"/>
      <c r="BK738" s="3"/>
      <c r="BR738" s="4"/>
      <c r="BS738" s="3"/>
      <c r="BZ738" s="4"/>
    </row>
    <row r="739" ht="14.25" customHeight="1">
      <c r="T739" s="3"/>
      <c r="AA739" s="4"/>
      <c r="AB739" s="4"/>
      <c r="AC739" s="3"/>
      <c r="AK739" s="4"/>
      <c r="AL739" s="3"/>
      <c r="AS739" s="4"/>
      <c r="AT739" s="4"/>
      <c r="AU739" s="3"/>
      <c r="BB739" s="4"/>
      <c r="BC739" s="3"/>
      <c r="BJ739" s="4"/>
      <c r="BK739" s="3"/>
      <c r="BR739" s="4"/>
      <c r="BS739" s="3"/>
      <c r="BZ739" s="4"/>
    </row>
    <row r="740" ht="14.25" customHeight="1">
      <c r="T740" s="3"/>
      <c r="AA740" s="4"/>
      <c r="AB740" s="4"/>
      <c r="AC740" s="3"/>
      <c r="AK740" s="4"/>
      <c r="AL740" s="3"/>
      <c r="AS740" s="4"/>
      <c r="AT740" s="4"/>
      <c r="AU740" s="3"/>
      <c r="BB740" s="4"/>
      <c r="BC740" s="3"/>
      <c r="BJ740" s="4"/>
      <c r="BK740" s="3"/>
      <c r="BR740" s="4"/>
      <c r="BS740" s="3"/>
      <c r="BZ740" s="4"/>
    </row>
    <row r="741" ht="14.25" customHeight="1">
      <c r="T741" s="3"/>
      <c r="AA741" s="4"/>
      <c r="AB741" s="4"/>
      <c r="AC741" s="3"/>
      <c r="AK741" s="4"/>
      <c r="AL741" s="3"/>
      <c r="AS741" s="4"/>
      <c r="AT741" s="4"/>
      <c r="AU741" s="3"/>
      <c r="BB741" s="4"/>
      <c r="BC741" s="3"/>
      <c r="BJ741" s="4"/>
      <c r="BK741" s="3"/>
      <c r="BR741" s="4"/>
      <c r="BS741" s="3"/>
      <c r="BZ741" s="4"/>
    </row>
    <row r="742" ht="14.25" customHeight="1">
      <c r="T742" s="3"/>
      <c r="AA742" s="4"/>
      <c r="AB742" s="4"/>
      <c r="AC742" s="3"/>
      <c r="AK742" s="4"/>
      <c r="AL742" s="3"/>
      <c r="AS742" s="4"/>
      <c r="AT742" s="4"/>
      <c r="AU742" s="3"/>
      <c r="BB742" s="4"/>
      <c r="BC742" s="3"/>
      <c r="BJ742" s="4"/>
      <c r="BK742" s="3"/>
      <c r="BR742" s="4"/>
      <c r="BS742" s="3"/>
      <c r="BZ742" s="4"/>
    </row>
    <row r="743" ht="14.25" customHeight="1">
      <c r="T743" s="3"/>
      <c r="AA743" s="4"/>
      <c r="AB743" s="4"/>
      <c r="AC743" s="3"/>
      <c r="AK743" s="4"/>
      <c r="AL743" s="3"/>
      <c r="AS743" s="4"/>
      <c r="AT743" s="4"/>
      <c r="AU743" s="3"/>
      <c r="BB743" s="4"/>
      <c r="BC743" s="3"/>
      <c r="BJ743" s="4"/>
      <c r="BK743" s="3"/>
      <c r="BR743" s="4"/>
      <c r="BS743" s="3"/>
      <c r="BZ743" s="4"/>
    </row>
    <row r="744" ht="14.25" customHeight="1">
      <c r="T744" s="3"/>
      <c r="AA744" s="4"/>
      <c r="AB744" s="4"/>
      <c r="AC744" s="3"/>
      <c r="AK744" s="4"/>
      <c r="AL744" s="3"/>
      <c r="AS744" s="4"/>
      <c r="AT744" s="4"/>
      <c r="AU744" s="3"/>
      <c r="BB744" s="4"/>
      <c r="BC744" s="3"/>
      <c r="BJ744" s="4"/>
      <c r="BK744" s="3"/>
      <c r="BR744" s="4"/>
      <c r="BS744" s="3"/>
      <c r="BZ744" s="4"/>
    </row>
    <row r="745" ht="14.25" customHeight="1">
      <c r="T745" s="3"/>
      <c r="AA745" s="4"/>
      <c r="AB745" s="4"/>
      <c r="AC745" s="3"/>
      <c r="AK745" s="4"/>
      <c r="AL745" s="3"/>
      <c r="AS745" s="4"/>
      <c r="AT745" s="4"/>
      <c r="AU745" s="3"/>
      <c r="BB745" s="4"/>
      <c r="BC745" s="3"/>
      <c r="BJ745" s="4"/>
      <c r="BK745" s="3"/>
      <c r="BR745" s="4"/>
      <c r="BS745" s="3"/>
      <c r="BZ745" s="4"/>
    </row>
    <row r="746" ht="14.25" customHeight="1">
      <c r="T746" s="3"/>
      <c r="AA746" s="4"/>
      <c r="AB746" s="4"/>
      <c r="AC746" s="3"/>
      <c r="AK746" s="4"/>
      <c r="AL746" s="3"/>
      <c r="AS746" s="4"/>
      <c r="AT746" s="4"/>
      <c r="AU746" s="3"/>
      <c r="BB746" s="4"/>
      <c r="BC746" s="3"/>
      <c r="BJ746" s="4"/>
      <c r="BK746" s="3"/>
      <c r="BR746" s="4"/>
      <c r="BS746" s="3"/>
      <c r="BZ746" s="4"/>
    </row>
    <row r="747" ht="14.25" customHeight="1">
      <c r="T747" s="3"/>
      <c r="AA747" s="4"/>
      <c r="AB747" s="4"/>
      <c r="AC747" s="3"/>
      <c r="AK747" s="4"/>
      <c r="AL747" s="3"/>
      <c r="AS747" s="4"/>
      <c r="AT747" s="4"/>
      <c r="AU747" s="3"/>
      <c r="BB747" s="4"/>
      <c r="BC747" s="3"/>
      <c r="BJ747" s="4"/>
      <c r="BK747" s="3"/>
      <c r="BR747" s="4"/>
      <c r="BS747" s="3"/>
      <c r="BZ747" s="4"/>
    </row>
    <row r="748" ht="14.25" customHeight="1">
      <c r="T748" s="3"/>
      <c r="AA748" s="4"/>
      <c r="AB748" s="4"/>
      <c r="AC748" s="3"/>
      <c r="AK748" s="4"/>
      <c r="AL748" s="3"/>
      <c r="AS748" s="4"/>
      <c r="AT748" s="4"/>
      <c r="AU748" s="3"/>
      <c r="BB748" s="4"/>
      <c r="BC748" s="3"/>
      <c r="BJ748" s="4"/>
      <c r="BK748" s="3"/>
      <c r="BR748" s="4"/>
      <c r="BS748" s="3"/>
      <c r="BZ748" s="4"/>
    </row>
    <row r="749" ht="14.25" customHeight="1">
      <c r="T749" s="3"/>
      <c r="AA749" s="4"/>
      <c r="AB749" s="4"/>
      <c r="AC749" s="3"/>
      <c r="AK749" s="4"/>
      <c r="AL749" s="3"/>
      <c r="AS749" s="4"/>
      <c r="AT749" s="4"/>
      <c r="AU749" s="3"/>
      <c r="BB749" s="4"/>
      <c r="BC749" s="3"/>
      <c r="BJ749" s="4"/>
      <c r="BK749" s="3"/>
      <c r="BR749" s="4"/>
      <c r="BS749" s="3"/>
      <c r="BZ749" s="4"/>
    </row>
    <row r="750" ht="14.25" customHeight="1">
      <c r="T750" s="3"/>
      <c r="AA750" s="4"/>
      <c r="AB750" s="4"/>
      <c r="AC750" s="3"/>
      <c r="AK750" s="4"/>
      <c r="AL750" s="3"/>
      <c r="AS750" s="4"/>
      <c r="AT750" s="4"/>
      <c r="AU750" s="3"/>
      <c r="BB750" s="4"/>
      <c r="BC750" s="3"/>
      <c r="BJ750" s="4"/>
      <c r="BK750" s="3"/>
      <c r="BR750" s="4"/>
      <c r="BS750" s="3"/>
      <c r="BZ750" s="4"/>
    </row>
    <row r="751" ht="14.25" customHeight="1">
      <c r="T751" s="3"/>
      <c r="AA751" s="4"/>
      <c r="AB751" s="4"/>
      <c r="AC751" s="3"/>
      <c r="AK751" s="4"/>
      <c r="AL751" s="3"/>
      <c r="AS751" s="4"/>
      <c r="AT751" s="4"/>
      <c r="AU751" s="3"/>
      <c r="BB751" s="4"/>
      <c r="BC751" s="3"/>
      <c r="BJ751" s="4"/>
      <c r="BK751" s="3"/>
      <c r="BR751" s="4"/>
      <c r="BS751" s="3"/>
      <c r="BZ751" s="4"/>
    </row>
    <row r="752" ht="14.25" customHeight="1">
      <c r="T752" s="3"/>
      <c r="AA752" s="4"/>
      <c r="AB752" s="4"/>
      <c r="AC752" s="3"/>
      <c r="AK752" s="4"/>
      <c r="AL752" s="3"/>
      <c r="AS752" s="4"/>
      <c r="AT752" s="4"/>
      <c r="AU752" s="3"/>
      <c r="BB752" s="4"/>
      <c r="BC752" s="3"/>
      <c r="BJ752" s="4"/>
      <c r="BK752" s="3"/>
      <c r="BR752" s="4"/>
      <c r="BS752" s="3"/>
      <c r="BZ752" s="4"/>
    </row>
    <row r="753" ht="14.25" customHeight="1">
      <c r="T753" s="3"/>
      <c r="AA753" s="4"/>
      <c r="AB753" s="4"/>
      <c r="AC753" s="3"/>
      <c r="AK753" s="4"/>
      <c r="AL753" s="3"/>
      <c r="AS753" s="4"/>
      <c r="AT753" s="4"/>
      <c r="AU753" s="3"/>
      <c r="BB753" s="4"/>
      <c r="BC753" s="3"/>
      <c r="BJ753" s="4"/>
      <c r="BK753" s="3"/>
      <c r="BR753" s="4"/>
      <c r="BS753" s="3"/>
      <c r="BZ753" s="4"/>
    </row>
    <row r="754" ht="14.25" customHeight="1">
      <c r="T754" s="3"/>
      <c r="AA754" s="4"/>
      <c r="AB754" s="4"/>
      <c r="AC754" s="3"/>
      <c r="AK754" s="4"/>
      <c r="AL754" s="3"/>
      <c r="AS754" s="4"/>
      <c r="AT754" s="4"/>
      <c r="AU754" s="3"/>
      <c r="BB754" s="4"/>
      <c r="BC754" s="3"/>
      <c r="BJ754" s="4"/>
      <c r="BK754" s="3"/>
      <c r="BR754" s="4"/>
      <c r="BS754" s="3"/>
      <c r="BZ754" s="4"/>
    </row>
    <row r="755" ht="14.25" customHeight="1">
      <c r="T755" s="3"/>
      <c r="AA755" s="4"/>
      <c r="AB755" s="4"/>
      <c r="AC755" s="3"/>
      <c r="AK755" s="4"/>
      <c r="AL755" s="3"/>
      <c r="AS755" s="4"/>
      <c r="AT755" s="4"/>
      <c r="AU755" s="3"/>
      <c r="BB755" s="4"/>
      <c r="BC755" s="3"/>
      <c r="BJ755" s="4"/>
      <c r="BK755" s="3"/>
      <c r="BR755" s="4"/>
      <c r="BS755" s="3"/>
      <c r="BZ755" s="4"/>
    </row>
    <row r="756" ht="14.25" customHeight="1">
      <c r="T756" s="3"/>
      <c r="AA756" s="4"/>
      <c r="AB756" s="4"/>
      <c r="AC756" s="3"/>
      <c r="AK756" s="4"/>
      <c r="AL756" s="3"/>
      <c r="AS756" s="4"/>
      <c r="AT756" s="4"/>
      <c r="AU756" s="3"/>
      <c r="BB756" s="4"/>
      <c r="BC756" s="3"/>
      <c r="BJ756" s="4"/>
      <c r="BK756" s="3"/>
      <c r="BR756" s="4"/>
      <c r="BS756" s="3"/>
      <c r="BZ756" s="4"/>
    </row>
    <row r="757" ht="14.25" customHeight="1">
      <c r="T757" s="3"/>
      <c r="AA757" s="4"/>
      <c r="AB757" s="4"/>
      <c r="AC757" s="3"/>
      <c r="AK757" s="4"/>
      <c r="AL757" s="3"/>
      <c r="AS757" s="4"/>
      <c r="AT757" s="4"/>
      <c r="AU757" s="3"/>
      <c r="BB757" s="4"/>
      <c r="BC757" s="3"/>
      <c r="BJ757" s="4"/>
      <c r="BK757" s="3"/>
      <c r="BR757" s="4"/>
      <c r="BS757" s="3"/>
      <c r="BZ757" s="4"/>
    </row>
    <row r="758" ht="14.25" customHeight="1">
      <c r="T758" s="3"/>
      <c r="AA758" s="4"/>
      <c r="AB758" s="4"/>
      <c r="AC758" s="3"/>
      <c r="AK758" s="4"/>
      <c r="AL758" s="3"/>
      <c r="AS758" s="4"/>
      <c r="AT758" s="4"/>
      <c r="AU758" s="3"/>
      <c r="BB758" s="4"/>
      <c r="BC758" s="3"/>
      <c r="BJ758" s="4"/>
      <c r="BK758" s="3"/>
      <c r="BR758" s="4"/>
      <c r="BS758" s="3"/>
      <c r="BZ758" s="4"/>
    </row>
    <row r="759" ht="14.25" customHeight="1">
      <c r="T759" s="3"/>
      <c r="AA759" s="4"/>
      <c r="AB759" s="4"/>
      <c r="AC759" s="3"/>
      <c r="AK759" s="4"/>
      <c r="AL759" s="3"/>
      <c r="AS759" s="4"/>
      <c r="AT759" s="4"/>
      <c r="AU759" s="3"/>
      <c r="BB759" s="4"/>
      <c r="BC759" s="3"/>
      <c r="BJ759" s="4"/>
      <c r="BK759" s="3"/>
      <c r="BR759" s="4"/>
      <c r="BS759" s="3"/>
      <c r="BZ759" s="4"/>
    </row>
    <row r="760" ht="14.25" customHeight="1">
      <c r="T760" s="3"/>
      <c r="AA760" s="4"/>
      <c r="AB760" s="4"/>
      <c r="AC760" s="3"/>
      <c r="AK760" s="4"/>
      <c r="AL760" s="3"/>
      <c r="AS760" s="4"/>
      <c r="AT760" s="4"/>
      <c r="AU760" s="3"/>
      <c r="BB760" s="4"/>
      <c r="BC760" s="3"/>
      <c r="BJ760" s="4"/>
      <c r="BK760" s="3"/>
      <c r="BR760" s="4"/>
      <c r="BS760" s="3"/>
      <c r="BZ760" s="4"/>
    </row>
    <row r="761" ht="14.25" customHeight="1">
      <c r="T761" s="3"/>
      <c r="AA761" s="4"/>
      <c r="AB761" s="4"/>
      <c r="AC761" s="3"/>
      <c r="AK761" s="4"/>
      <c r="AL761" s="3"/>
      <c r="AS761" s="4"/>
      <c r="AT761" s="4"/>
      <c r="AU761" s="3"/>
      <c r="BB761" s="4"/>
      <c r="BC761" s="3"/>
      <c r="BJ761" s="4"/>
      <c r="BK761" s="3"/>
      <c r="BR761" s="4"/>
      <c r="BS761" s="3"/>
      <c r="BZ761" s="4"/>
    </row>
    <row r="762" ht="14.25" customHeight="1">
      <c r="T762" s="3"/>
      <c r="AA762" s="4"/>
      <c r="AB762" s="4"/>
      <c r="AC762" s="3"/>
      <c r="AK762" s="4"/>
      <c r="AL762" s="3"/>
      <c r="AS762" s="4"/>
      <c r="AT762" s="4"/>
      <c r="AU762" s="3"/>
      <c r="BB762" s="4"/>
      <c r="BC762" s="3"/>
      <c r="BJ762" s="4"/>
      <c r="BK762" s="3"/>
      <c r="BR762" s="4"/>
      <c r="BS762" s="3"/>
      <c r="BZ762" s="4"/>
    </row>
    <row r="763" ht="14.25" customHeight="1">
      <c r="T763" s="3"/>
      <c r="AA763" s="4"/>
      <c r="AB763" s="4"/>
      <c r="AC763" s="3"/>
      <c r="AK763" s="4"/>
      <c r="AL763" s="3"/>
      <c r="AS763" s="4"/>
      <c r="AT763" s="4"/>
      <c r="AU763" s="3"/>
      <c r="BB763" s="4"/>
      <c r="BC763" s="3"/>
      <c r="BJ763" s="4"/>
      <c r="BK763" s="3"/>
      <c r="BR763" s="4"/>
      <c r="BS763" s="3"/>
      <c r="BZ763" s="4"/>
    </row>
    <row r="764" ht="14.25" customHeight="1">
      <c r="T764" s="3"/>
      <c r="AA764" s="4"/>
      <c r="AB764" s="4"/>
      <c r="AC764" s="3"/>
      <c r="AK764" s="4"/>
      <c r="AL764" s="3"/>
      <c r="AS764" s="4"/>
      <c r="AT764" s="4"/>
      <c r="AU764" s="3"/>
      <c r="BB764" s="4"/>
      <c r="BC764" s="3"/>
      <c r="BJ764" s="4"/>
      <c r="BK764" s="3"/>
      <c r="BR764" s="4"/>
      <c r="BS764" s="3"/>
      <c r="BZ764" s="4"/>
    </row>
    <row r="765" ht="14.25" customHeight="1">
      <c r="T765" s="3"/>
      <c r="AA765" s="4"/>
      <c r="AB765" s="4"/>
      <c r="AC765" s="3"/>
      <c r="AK765" s="4"/>
      <c r="AL765" s="3"/>
      <c r="AS765" s="4"/>
      <c r="AT765" s="4"/>
      <c r="AU765" s="3"/>
      <c r="BB765" s="4"/>
      <c r="BC765" s="3"/>
      <c r="BJ765" s="4"/>
      <c r="BK765" s="3"/>
      <c r="BR765" s="4"/>
      <c r="BS765" s="3"/>
      <c r="BZ765" s="4"/>
    </row>
    <row r="766" ht="14.25" customHeight="1">
      <c r="T766" s="3"/>
      <c r="AA766" s="4"/>
      <c r="AB766" s="4"/>
      <c r="AC766" s="3"/>
      <c r="AK766" s="4"/>
      <c r="AL766" s="3"/>
      <c r="AS766" s="4"/>
      <c r="AT766" s="4"/>
      <c r="AU766" s="3"/>
      <c r="BB766" s="4"/>
      <c r="BC766" s="3"/>
      <c r="BJ766" s="4"/>
      <c r="BK766" s="3"/>
      <c r="BR766" s="4"/>
      <c r="BS766" s="3"/>
      <c r="BZ766" s="4"/>
    </row>
    <row r="767" ht="14.25" customHeight="1">
      <c r="T767" s="3"/>
      <c r="AA767" s="4"/>
      <c r="AB767" s="4"/>
      <c r="AC767" s="3"/>
      <c r="AK767" s="4"/>
      <c r="AL767" s="3"/>
      <c r="AS767" s="4"/>
      <c r="AT767" s="4"/>
      <c r="AU767" s="3"/>
      <c r="BB767" s="4"/>
      <c r="BC767" s="3"/>
      <c r="BJ767" s="4"/>
      <c r="BK767" s="3"/>
      <c r="BR767" s="4"/>
      <c r="BS767" s="3"/>
      <c r="BZ767" s="4"/>
    </row>
    <row r="768" ht="14.25" customHeight="1">
      <c r="T768" s="3"/>
      <c r="AA768" s="4"/>
      <c r="AB768" s="4"/>
      <c r="AC768" s="3"/>
      <c r="AK768" s="4"/>
      <c r="AL768" s="3"/>
      <c r="AS768" s="4"/>
      <c r="AT768" s="4"/>
      <c r="AU768" s="3"/>
      <c r="BB768" s="4"/>
      <c r="BC768" s="3"/>
      <c r="BJ768" s="4"/>
      <c r="BK768" s="3"/>
      <c r="BR768" s="4"/>
      <c r="BS768" s="3"/>
      <c r="BZ768" s="4"/>
    </row>
    <row r="769" ht="14.25" customHeight="1">
      <c r="T769" s="3"/>
      <c r="AA769" s="4"/>
      <c r="AB769" s="4"/>
      <c r="AC769" s="3"/>
      <c r="AK769" s="4"/>
      <c r="AL769" s="3"/>
      <c r="AS769" s="4"/>
      <c r="AT769" s="4"/>
      <c r="AU769" s="3"/>
      <c r="BB769" s="4"/>
      <c r="BC769" s="3"/>
      <c r="BJ769" s="4"/>
      <c r="BK769" s="3"/>
      <c r="BR769" s="4"/>
      <c r="BS769" s="3"/>
      <c r="BZ769" s="4"/>
    </row>
    <row r="770" ht="14.25" customHeight="1">
      <c r="T770" s="3"/>
      <c r="AA770" s="4"/>
      <c r="AB770" s="4"/>
      <c r="AC770" s="3"/>
      <c r="AK770" s="4"/>
      <c r="AL770" s="3"/>
      <c r="AS770" s="4"/>
      <c r="AT770" s="4"/>
      <c r="AU770" s="3"/>
      <c r="BB770" s="4"/>
      <c r="BC770" s="3"/>
      <c r="BJ770" s="4"/>
      <c r="BK770" s="3"/>
      <c r="BR770" s="4"/>
      <c r="BS770" s="3"/>
      <c r="BZ770" s="4"/>
    </row>
    <row r="771" ht="14.25" customHeight="1">
      <c r="T771" s="3"/>
      <c r="AA771" s="4"/>
      <c r="AB771" s="4"/>
      <c r="AC771" s="3"/>
      <c r="AK771" s="4"/>
      <c r="AL771" s="3"/>
      <c r="AS771" s="4"/>
      <c r="AT771" s="4"/>
      <c r="AU771" s="3"/>
      <c r="BB771" s="4"/>
      <c r="BC771" s="3"/>
      <c r="BJ771" s="4"/>
      <c r="BK771" s="3"/>
      <c r="BR771" s="4"/>
      <c r="BS771" s="3"/>
      <c r="BZ771" s="4"/>
    </row>
    <row r="772" ht="14.25" customHeight="1">
      <c r="T772" s="3"/>
      <c r="AA772" s="4"/>
      <c r="AB772" s="4"/>
      <c r="AC772" s="3"/>
      <c r="AK772" s="4"/>
      <c r="AL772" s="3"/>
      <c r="AS772" s="4"/>
      <c r="AT772" s="4"/>
      <c r="AU772" s="3"/>
      <c r="BB772" s="4"/>
      <c r="BC772" s="3"/>
      <c r="BJ772" s="4"/>
      <c r="BK772" s="3"/>
      <c r="BR772" s="4"/>
      <c r="BS772" s="3"/>
      <c r="BZ772" s="4"/>
    </row>
    <row r="773" ht="14.25" customHeight="1">
      <c r="T773" s="3"/>
      <c r="AA773" s="4"/>
      <c r="AB773" s="4"/>
      <c r="AC773" s="3"/>
      <c r="AK773" s="4"/>
      <c r="AL773" s="3"/>
      <c r="AS773" s="4"/>
      <c r="AT773" s="4"/>
      <c r="AU773" s="3"/>
      <c r="BB773" s="4"/>
      <c r="BC773" s="3"/>
      <c r="BJ773" s="4"/>
      <c r="BK773" s="3"/>
      <c r="BR773" s="4"/>
      <c r="BS773" s="3"/>
      <c r="BZ773" s="4"/>
    </row>
    <row r="774" ht="14.25" customHeight="1">
      <c r="T774" s="3"/>
      <c r="AA774" s="4"/>
      <c r="AB774" s="4"/>
      <c r="AC774" s="3"/>
      <c r="AK774" s="4"/>
      <c r="AL774" s="3"/>
      <c r="AS774" s="4"/>
      <c r="AT774" s="4"/>
      <c r="AU774" s="3"/>
      <c r="BB774" s="4"/>
      <c r="BC774" s="3"/>
      <c r="BJ774" s="4"/>
      <c r="BK774" s="3"/>
      <c r="BR774" s="4"/>
      <c r="BS774" s="3"/>
      <c r="BZ774" s="4"/>
    </row>
    <row r="775" ht="14.25" customHeight="1">
      <c r="T775" s="3"/>
      <c r="AA775" s="4"/>
      <c r="AB775" s="4"/>
      <c r="AC775" s="3"/>
      <c r="AK775" s="4"/>
      <c r="AL775" s="3"/>
      <c r="AS775" s="4"/>
      <c r="AT775" s="4"/>
      <c r="AU775" s="3"/>
      <c r="BB775" s="4"/>
      <c r="BC775" s="3"/>
      <c r="BJ775" s="4"/>
      <c r="BK775" s="3"/>
      <c r="BR775" s="4"/>
      <c r="BS775" s="3"/>
      <c r="BZ775" s="4"/>
    </row>
    <row r="776" ht="14.25" customHeight="1">
      <c r="T776" s="3"/>
      <c r="AA776" s="4"/>
      <c r="AB776" s="4"/>
      <c r="AC776" s="3"/>
      <c r="AK776" s="4"/>
      <c r="AL776" s="3"/>
      <c r="AS776" s="4"/>
      <c r="AT776" s="4"/>
      <c r="AU776" s="3"/>
      <c r="BB776" s="4"/>
      <c r="BC776" s="3"/>
      <c r="BJ776" s="4"/>
      <c r="BK776" s="3"/>
      <c r="BR776" s="4"/>
      <c r="BS776" s="3"/>
      <c r="BZ776" s="4"/>
    </row>
    <row r="777" ht="14.25" customHeight="1">
      <c r="T777" s="3"/>
      <c r="AA777" s="4"/>
      <c r="AB777" s="4"/>
      <c r="AC777" s="3"/>
      <c r="AK777" s="4"/>
      <c r="AL777" s="3"/>
      <c r="AS777" s="4"/>
      <c r="AT777" s="4"/>
      <c r="AU777" s="3"/>
      <c r="BB777" s="4"/>
      <c r="BC777" s="3"/>
      <c r="BJ777" s="4"/>
      <c r="BK777" s="3"/>
      <c r="BR777" s="4"/>
      <c r="BS777" s="3"/>
      <c r="BZ777" s="4"/>
    </row>
    <row r="778" ht="14.25" customHeight="1">
      <c r="T778" s="3"/>
      <c r="AA778" s="4"/>
      <c r="AB778" s="4"/>
      <c r="AC778" s="3"/>
      <c r="AK778" s="4"/>
      <c r="AL778" s="3"/>
      <c r="AS778" s="4"/>
      <c r="AT778" s="4"/>
      <c r="AU778" s="3"/>
      <c r="BB778" s="4"/>
      <c r="BC778" s="3"/>
      <c r="BJ778" s="4"/>
      <c r="BK778" s="3"/>
      <c r="BR778" s="4"/>
      <c r="BS778" s="3"/>
      <c r="BZ778" s="4"/>
    </row>
    <row r="779" ht="14.25" customHeight="1">
      <c r="T779" s="3"/>
      <c r="AA779" s="4"/>
      <c r="AB779" s="4"/>
      <c r="AC779" s="3"/>
      <c r="AK779" s="4"/>
      <c r="AL779" s="3"/>
      <c r="AS779" s="4"/>
      <c r="AT779" s="4"/>
      <c r="AU779" s="3"/>
      <c r="BB779" s="4"/>
      <c r="BC779" s="3"/>
      <c r="BJ779" s="4"/>
      <c r="BK779" s="3"/>
      <c r="BR779" s="4"/>
      <c r="BS779" s="3"/>
      <c r="BZ779" s="4"/>
    </row>
    <row r="780" ht="14.25" customHeight="1">
      <c r="T780" s="3"/>
      <c r="AA780" s="4"/>
      <c r="AB780" s="4"/>
      <c r="AC780" s="3"/>
      <c r="AK780" s="4"/>
      <c r="AL780" s="3"/>
      <c r="AS780" s="4"/>
      <c r="AT780" s="4"/>
      <c r="AU780" s="3"/>
      <c r="BB780" s="4"/>
      <c r="BC780" s="3"/>
      <c r="BJ780" s="4"/>
      <c r="BK780" s="3"/>
      <c r="BR780" s="4"/>
      <c r="BS780" s="3"/>
      <c r="BZ780" s="4"/>
    </row>
    <row r="781" ht="14.25" customHeight="1">
      <c r="T781" s="3"/>
      <c r="AA781" s="4"/>
      <c r="AB781" s="4"/>
      <c r="AC781" s="3"/>
      <c r="AK781" s="4"/>
      <c r="AL781" s="3"/>
      <c r="AS781" s="4"/>
      <c r="AT781" s="4"/>
      <c r="AU781" s="3"/>
      <c r="BB781" s="4"/>
      <c r="BC781" s="3"/>
      <c r="BJ781" s="4"/>
      <c r="BK781" s="3"/>
      <c r="BR781" s="4"/>
      <c r="BS781" s="3"/>
      <c r="BZ781" s="4"/>
    </row>
    <row r="782" ht="14.25" customHeight="1">
      <c r="T782" s="3"/>
      <c r="AA782" s="4"/>
      <c r="AB782" s="4"/>
      <c r="AC782" s="3"/>
      <c r="AK782" s="4"/>
      <c r="AL782" s="3"/>
      <c r="AS782" s="4"/>
      <c r="AT782" s="4"/>
      <c r="AU782" s="3"/>
      <c r="BB782" s="4"/>
      <c r="BC782" s="3"/>
      <c r="BJ782" s="4"/>
      <c r="BK782" s="3"/>
      <c r="BR782" s="4"/>
      <c r="BS782" s="3"/>
      <c r="BZ782" s="4"/>
    </row>
    <row r="783" ht="14.25" customHeight="1">
      <c r="T783" s="3"/>
      <c r="AA783" s="4"/>
      <c r="AB783" s="4"/>
      <c r="AC783" s="3"/>
      <c r="AK783" s="4"/>
      <c r="AL783" s="3"/>
      <c r="AS783" s="4"/>
      <c r="AT783" s="4"/>
      <c r="AU783" s="3"/>
      <c r="BB783" s="4"/>
      <c r="BC783" s="3"/>
      <c r="BJ783" s="4"/>
      <c r="BK783" s="3"/>
      <c r="BR783" s="4"/>
      <c r="BS783" s="3"/>
      <c r="BZ783" s="4"/>
    </row>
    <row r="784" ht="14.25" customHeight="1">
      <c r="T784" s="3"/>
      <c r="AA784" s="4"/>
      <c r="AB784" s="4"/>
      <c r="AC784" s="3"/>
      <c r="AK784" s="4"/>
      <c r="AL784" s="3"/>
      <c r="AS784" s="4"/>
      <c r="AT784" s="4"/>
      <c r="AU784" s="3"/>
      <c r="BB784" s="4"/>
      <c r="BC784" s="3"/>
      <c r="BJ784" s="4"/>
      <c r="BK784" s="3"/>
      <c r="BR784" s="4"/>
      <c r="BS784" s="3"/>
      <c r="BZ784" s="4"/>
    </row>
    <row r="785" ht="14.25" customHeight="1">
      <c r="T785" s="3"/>
      <c r="AA785" s="4"/>
      <c r="AB785" s="4"/>
      <c r="AC785" s="3"/>
      <c r="AK785" s="4"/>
      <c r="AL785" s="3"/>
      <c r="AS785" s="4"/>
      <c r="AT785" s="4"/>
      <c r="AU785" s="3"/>
      <c r="BB785" s="4"/>
      <c r="BC785" s="3"/>
      <c r="BJ785" s="4"/>
      <c r="BK785" s="3"/>
      <c r="BR785" s="4"/>
      <c r="BS785" s="3"/>
      <c r="BZ785" s="4"/>
    </row>
    <row r="786" ht="14.25" customHeight="1">
      <c r="T786" s="3"/>
      <c r="AA786" s="4"/>
      <c r="AB786" s="4"/>
      <c r="AC786" s="3"/>
      <c r="AK786" s="4"/>
      <c r="AL786" s="3"/>
      <c r="AS786" s="4"/>
      <c r="AT786" s="4"/>
      <c r="AU786" s="3"/>
      <c r="BB786" s="4"/>
      <c r="BC786" s="3"/>
      <c r="BJ786" s="4"/>
      <c r="BK786" s="3"/>
      <c r="BR786" s="4"/>
      <c r="BS786" s="3"/>
      <c r="BZ786" s="4"/>
    </row>
    <row r="787" ht="14.25" customHeight="1">
      <c r="T787" s="3"/>
      <c r="AA787" s="4"/>
      <c r="AB787" s="4"/>
      <c r="AC787" s="3"/>
      <c r="AK787" s="4"/>
      <c r="AL787" s="3"/>
      <c r="AS787" s="4"/>
      <c r="AT787" s="4"/>
      <c r="AU787" s="3"/>
      <c r="BB787" s="4"/>
      <c r="BC787" s="3"/>
      <c r="BJ787" s="4"/>
      <c r="BK787" s="3"/>
      <c r="BR787" s="4"/>
      <c r="BS787" s="3"/>
      <c r="BZ787" s="4"/>
    </row>
    <row r="788" ht="14.25" customHeight="1">
      <c r="T788" s="3"/>
      <c r="AA788" s="4"/>
      <c r="AB788" s="4"/>
      <c r="AC788" s="3"/>
      <c r="AK788" s="4"/>
      <c r="AL788" s="3"/>
      <c r="AS788" s="4"/>
      <c r="AT788" s="4"/>
      <c r="AU788" s="3"/>
      <c r="BB788" s="4"/>
      <c r="BC788" s="3"/>
      <c r="BJ788" s="4"/>
      <c r="BK788" s="3"/>
      <c r="BR788" s="4"/>
      <c r="BS788" s="3"/>
      <c r="BZ788" s="4"/>
    </row>
    <row r="789" ht="14.25" customHeight="1">
      <c r="T789" s="3"/>
      <c r="AA789" s="4"/>
      <c r="AB789" s="4"/>
      <c r="AC789" s="3"/>
      <c r="AK789" s="4"/>
      <c r="AL789" s="3"/>
      <c r="AS789" s="4"/>
      <c r="AT789" s="4"/>
      <c r="AU789" s="3"/>
      <c r="BB789" s="4"/>
      <c r="BC789" s="3"/>
      <c r="BJ789" s="4"/>
      <c r="BK789" s="3"/>
      <c r="BR789" s="4"/>
      <c r="BS789" s="3"/>
      <c r="BZ789" s="4"/>
    </row>
    <row r="790" ht="14.25" customHeight="1">
      <c r="T790" s="3"/>
      <c r="AA790" s="4"/>
      <c r="AB790" s="4"/>
      <c r="AC790" s="3"/>
      <c r="AK790" s="4"/>
      <c r="AL790" s="3"/>
      <c r="AS790" s="4"/>
      <c r="AT790" s="4"/>
      <c r="AU790" s="3"/>
      <c r="BB790" s="4"/>
      <c r="BC790" s="3"/>
      <c r="BJ790" s="4"/>
      <c r="BK790" s="3"/>
      <c r="BR790" s="4"/>
      <c r="BS790" s="3"/>
      <c r="BZ790" s="4"/>
    </row>
    <row r="791" ht="14.25" customHeight="1">
      <c r="T791" s="3"/>
      <c r="AA791" s="4"/>
      <c r="AB791" s="4"/>
      <c r="AC791" s="3"/>
      <c r="AK791" s="4"/>
      <c r="AL791" s="3"/>
      <c r="AS791" s="4"/>
      <c r="AT791" s="4"/>
      <c r="AU791" s="3"/>
      <c r="BB791" s="4"/>
      <c r="BC791" s="3"/>
      <c r="BJ791" s="4"/>
      <c r="BK791" s="3"/>
      <c r="BR791" s="4"/>
      <c r="BS791" s="3"/>
      <c r="BZ791" s="4"/>
    </row>
    <row r="792" ht="14.25" customHeight="1">
      <c r="T792" s="3"/>
      <c r="AA792" s="4"/>
      <c r="AB792" s="4"/>
      <c r="AC792" s="3"/>
      <c r="AK792" s="4"/>
      <c r="AL792" s="3"/>
      <c r="AS792" s="4"/>
      <c r="AT792" s="4"/>
      <c r="AU792" s="3"/>
      <c r="BB792" s="4"/>
      <c r="BC792" s="3"/>
      <c r="BJ792" s="4"/>
      <c r="BK792" s="3"/>
      <c r="BR792" s="4"/>
      <c r="BS792" s="3"/>
      <c r="BZ792" s="4"/>
    </row>
    <row r="793" ht="14.25" customHeight="1">
      <c r="T793" s="3"/>
      <c r="AA793" s="4"/>
      <c r="AB793" s="4"/>
      <c r="AC793" s="3"/>
      <c r="AK793" s="4"/>
      <c r="AL793" s="3"/>
      <c r="AS793" s="4"/>
      <c r="AT793" s="4"/>
      <c r="AU793" s="3"/>
      <c r="BB793" s="4"/>
      <c r="BC793" s="3"/>
      <c r="BJ793" s="4"/>
      <c r="BK793" s="3"/>
      <c r="BR793" s="4"/>
      <c r="BS793" s="3"/>
      <c r="BZ793" s="4"/>
    </row>
    <row r="794" ht="14.25" customHeight="1">
      <c r="T794" s="3"/>
      <c r="AA794" s="4"/>
      <c r="AB794" s="4"/>
      <c r="AC794" s="3"/>
      <c r="AK794" s="4"/>
      <c r="AL794" s="3"/>
      <c r="AS794" s="4"/>
      <c r="AT794" s="4"/>
      <c r="AU794" s="3"/>
      <c r="BB794" s="4"/>
      <c r="BC794" s="3"/>
      <c r="BJ794" s="4"/>
      <c r="BK794" s="3"/>
      <c r="BR794" s="4"/>
      <c r="BS794" s="3"/>
      <c r="BZ794" s="4"/>
    </row>
    <row r="795" ht="14.25" customHeight="1">
      <c r="T795" s="3"/>
      <c r="AA795" s="4"/>
      <c r="AB795" s="4"/>
      <c r="AC795" s="3"/>
      <c r="AK795" s="4"/>
      <c r="AL795" s="3"/>
      <c r="AS795" s="4"/>
      <c r="AT795" s="4"/>
      <c r="AU795" s="3"/>
      <c r="BB795" s="4"/>
      <c r="BC795" s="3"/>
      <c r="BJ795" s="4"/>
      <c r="BK795" s="3"/>
      <c r="BR795" s="4"/>
      <c r="BS795" s="3"/>
      <c r="BZ795" s="4"/>
    </row>
    <row r="796" ht="14.25" customHeight="1">
      <c r="T796" s="3"/>
      <c r="AA796" s="4"/>
      <c r="AB796" s="4"/>
      <c r="AC796" s="3"/>
      <c r="AK796" s="4"/>
      <c r="AL796" s="3"/>
      <c r="AS796" s="4"/>
      <c r="AT796" s="4"/>
      <c r="AU796" s="3"/>
      <c r="BB796" s="4"/>
      <c r="BC796" s="3"/>
      <c r="BJ796" s="4"/>
      <c r="BK796" s="3"/>
      <c r="BR796" s="4"/>
      <c r="BS796" s="3"/>
      <c r="BZ796" s="4"/>
    </row>
    <row r="797" ht="14.25" customHeight="1">
      <c r="T797" s="3"/>
      <c r="AA797" s="4"/>
      <c r="AB797" s="4"/>
      <c r="AC797" s="3"/>
      <c r="AK797" s="4"/>
      <c r="AL797" s="3"/>
      <c r="AS797" s="4"/>
      <c r="AT797" s="4"/>
      <c r="AU797" s="3"/>
      <c r="BB797" s="4"/>
      <c r="BC797" s="3"/>
      <c r="BJ797" s="4"/>
      <c r="BK797" s="3"/>
      <c r="BR797" s="4"/>
      <c r="BS797" s="3"/>
      <c r="BZ797" s="4"/>
    </row>
    <row r="798" ht="14.25" customHeight="1">
      <c r="T798" s="3"/>
      <c r="AA798" s="4"/>
      <c r="AB798" s="4"/>
      <c r="AC798" s="3"/>
      <c r="AK798" s="4"/>
      <c r="AL798" s="3"/>
      <c r="AS798" s="4"/>
      <c r="AT798" s="4"/>
      <c r="AU798" s="3"/>
      <c r="BB798" s="4"/>
      <c r="BC798" s="3"/>
      <c r="BJ798" s="4"/>
      <c r="BK798" s="3"/>
      <c r="BR798" s="4"/>
      <c r="BS798" s="3"/>
      <c r="BZ798" s="4"/>
    </row>
    <row r="799" ht="14.25" customHeight="1">
      <c r="T799" s="3"/>
      <c r="AA799" s="4"/>
      <c r="AB799" s="4"/>
      <c r="AC799" s="3"/>
      <c r="AK799" s="4"/>
      <c r="AL799" s="3"/>
      <c r="AS799" s="4"/>
      <c r="AT799" s="4"/>
      <c r="AU799" s="3"/>
      <c r="BB799" s="4"/>
      <c r="BC799" s="3"/>
      <c r="BJ799" s="4"/>
      <c r="BK799" s="3"/>
      <c r="BR799" s="4"/>
      <c r="BS799" s="3"/>
      <c r="BZ799" s="4"/>
    </row>
    <row r="800" ht="14.25" customHeight="1">
      <c r="T800" s="3"/>
      <c r="AA800" s="4"/>
      <c r="AB800" s="4"/>
      <c r="AC800" s="3"/>
      <c r="AK800" s="4"/>
      <c r="AL800" s="3"/>
      <c r="AS800" s="4"/>
      <c r="AT800" s="4"/>
      <c r="AU800" s="3"/>
      <c r="BB800" s="4"/>
      <c r="BC800" s="3"/>
      <c r="BJ800" s="4"/>
      <c r="BK800" s="3"/>
      <c r="BR800" s="4"/>
      <c r="BS800" s="3"/>
      <c r="BZ800" s="4"/>
    </row>
    <row r="801" ht="14.25" customHeight="1">
      <c r="T801" s="3"/>
      <c r="AA801" s="4"/>
      <c r="AB801" s="4"/>
      <c r="AC801" s="3"/>
      <c r="AK801" s="4"/>
      <c r="AL801" s="3"/>
      <c r="AS801" s="4"/>
      <c r="AT801" s="4"/>
      <c r="AU801" s="3"/>
      <c r="BB801" s="4"/>
      <c r="BC801" s="3"/>
      <c r="BJ801" s="4"/>
      <c r="BK801" s="3"/>
      <c r="BR801" s="4"/>
      <c r="BS801" s="3"/>
      <c r="BZ801" s="4"/>
    </row>
    <row r="802" ht="14.25" customHeight="1">
      <c r="T802" s="3"/>
      <c r="AA802" s="4"/>
      <c r="AB802" s="4"/>
      <c r="AC802" s="3"/>
      <c r="AK802" s="4"/>
      <c r="AL802" s="3"/>
      <c r="AS802" s="4"/>
      <c r="AT802" s="4"/>
      <c r="AU802" s="3"/>
      <c r="BB802" s="4"/>
      <c r="BC802" s="3"/>
      <c r="BJ802" s="4"/>
      <c r="BK802" s="3"/>
      <c r="BR802" s="4"/>
      <c r="BS802" s="3"/>
      <c r="BZ802" s="4"/>
    </row>
    <row r="803" ht="14.25" customHeight="1">
      <c r="T803" s="3"/>
      <c r="AA803" s="4"/>
      <c r="AB803" s="4"/>
      <c r="AC803" s="3"/>
      <c r="AK803" s="4"/>
      <c r="AL803" s="3"/>
      <c r="AS803" s="4"/>
      <c r="AT803" s="4"/>
      <c r="AU803" s="3"/>
      <c r="BB803" s="4"/>
      <c r="BC803" s="3"/>
      <c r="BJ803" s="4"/>
      <c r="BK803" s="3"/>
      <c r="BR803" s="4"/>
      <c r="BS803" s="3"/>
      <c r="BZ803" s="4"/>
    </row>
    <row r="804" ht="14.25" customHeight="1">
      <c r="T804" s="3"/>
      <c r="AA804" s="4"/>
      <c r="AB804" s="4"/>
      <c r="AC804" s="3"/>
      <c r="AK804" s="4"/>
      <c r="AL804" s="3"/>
      <c r="AS804" s="4"/>
      <c r="AT804" s="4"/>
      <c r="AU804" s="3"/>
      <c r="BB804" s="4"/>
      <c r="BC804" s="3"/>
      <c r="BJ804" s="4"/>
      <c r="BK804" s="3"/>
      <c r="BR804" s="4"/>
      <c r="BS804" s="3"/>
      <c r="BZ804" s="4"/>
    </row>
    <row r="805" ht="14.25" customHeight="1">
      <c r="T805" s="3"/>
      <c r="AA805" s="4"/>
      <c r="AB805" s="4"/>
      <c r="AC805" s="3"/>
      <c r="AK805" s="4"/>
      <c r="AL805" s="3"/>
      <c r="AS805" s="4"/>
      <c r="AT805" s="4"/>
      <c r="AU805" s="3"/>
      <c r="BB805" s="4"/>
      <c r="BC805" s="3"/>
      <c r="BJ805" s="4"/>
      <c r="BK805" s="3"/>
      <c r="BR805" s="4"/>
      <c r="BS805" s="3"/>
      <c r="BZ805" s="4"/>
    </row>
    <row r="806" ht="14.25" customHeight="1">
      <c r="T806" s="3"/>
      <c r="AA806" s="4"/>
      <c r="AB806" s="4"/>
      <c r="AC806" s="3"/>
      <c r="AK806" s="4"/>
      <c r="AL806" s="3"/>
      <c r="AS806" s="4"/>
      <c r="AT806" s="4"/>
      <c r="AU806" s="3"/>
      <c r="BB806" s="4"/>
      <c r="BC806" s="3"/>
      <c r="BJ806" s="4"/>
      <c r="BK806" s="3"/>
      <c r="BR806" s="4"/>
      <c r="BS806" s="3"/>
      <c r="BZ806" s="4"/>
    </row>
    <row r="807" ht="14.25" customHeight="1">
      <c r="T807" s="3"/>
      <c r="AA807" s="4"/>
      <c r="AB807" s="4"/>
      <c r="AC807" s="3"/>
      <c r="AK807" s="4"/>
      <c r="AL807" s="3"/>
      <c r="AS807" s="4"/>
      <c r="AT807" s="4"/>
      <c r="AU807" s="3"/>
      <c r="BB807" s="4"/>
      <c r="BC807" s="3"/>
      <c r="BJ807" s="4"/>
      <c r="BK807" s="3"/>
      <c r="BR807" s="4"/>
      <c r="BS807" s="3"/>
      <c r="BZ807" s="4"/>
    </row>
    <row r="808" ht="14.25" customHeight="1">
      <c r="T808" s="3"/>
      <c r="AA808" s="4"/>
      <c r="AB808" s="4"/>
      <c r="AC808" s="3"/>
      <c r="AK808" s="4"/>
      <c r="AL808" s="3"/>
      <c r="AS808" s="4"/>
      <c r="AT808" s="4"/>
      <c r="AU808" s="3"/>
      <c r="BB808" s="4"/>
      <c r="BC808" s="3"/>
      <c r="BJ808" s="4"/>
      <c r="BK808" s="3"/>
      <c r="BR808" s="4"/>
      <c r="BS808" s="3"/>
      <c r="BZ808" s="4"/>
    </row>
    <row r="809" ht="14.25" customHeight="1">
      <c r="T809" s="3"/>
      <c r="AA809" s="4"/>
      <c r="AB809" s="4"/>
      <c r="AC809" s="3"/>
      <c r="AK809" s="4"/>
      <c r="AL809" s="3"/>
      <c r="AS809" s="4"/>
      <c r="AT809" s="4"/>
      <c r="AU809" s="3"/>
      <c r="BB809" s="4"/>
      <c r="BC809" s="3"/>
      <c r="BJ809" s="4"/>
      <c r="BK809" s="3"/>
      <c r="BR809" s="4"/>
      <c r="BS809" s="3"/>
      <c r="BZ809" s="4"/>
    </row>
    <row r="810" ht="14.25" customHeight="1">
      <c r="T810" s="3"/>
      <c r="AA810" s="4"/>
      <c r="AB810" s="4"/>
      <c r="AC810" s="3"/>
      <c r="AK810" s="4"/>
      <c r="AL810" s="3"/>
      <c r="AS810" s="4"/>
      <c r="AT810" s="4"/>
      <c r="AU810" s="3"/>
      <c r="BB810" s="4"/>
      <c r="BC810" s="3"/>
      <c r="BJ810" s="4"/>
      <c r="BK810" s="3"/>
      <c r="BR810" s="4"/>
      <c r="BS810" s="3"/>
      <c r="BZ810" s="4"/>
    </row>
    <row r="811" ht="14.25" customHeight="1">
      <c r="T811" s="3"/>
      <c r="AA811" s="4"/>
      <c r="AB811" s="4"/>
      <c r="AC811" s="3"/>
      <c r="AK811" s="4"/>
      <c r="AL811" s="3"/>
      <c r="AS811" s="4"/>
      <c r="AT811" s="4"/>
      <c r="AU811" s="3"/>
      <c r="BB811" s="4"/>
      <c r="BC811" s="3"/>
      <c r="BJ811" s="4"/>
      <c r="BK811" s="3"/>
      <c r="BR811" s="4"/>
      <c r="BS811" s="3"/>
      <c r="BZ811" s="4"/>
    </row>
    <row r="812" ht="14.25" customHeight="1">
      <c r="T812" s="3"/>
      <c r="AA812" s="4"/>
      <c r="AB812" s="4"/>
      <c r="AC812" s="3"/>
      <c r="AK812" s="4"/>
      <c r="AL812" s="3"/>
      <c r="AS812" s="4"/>
      <c r="AT812" s="4"/>
      <c r="AU812" s="3"/>
      <c r="BB812" s="4"/>
      <c r="BC812" s="3"/>
      <c r="BJ812" s="4"/>
      <c r="BK812" s="3"/>
      <c r="BR812" s="4"/>
      <c r="BS812" s="3"/>
      <c r="BZ812" s="4"/>
    </row>
    <row r="813" ht="14.25" customHeight="1">
      <c r="T813" s="3"/>
      <c r="AA813" s="4"/>
      <c r="AB813" s="4"/>
      <c r="AC813" s="3"/>
      <c r="AK813" s="4"/>
      <c r="AL813" s="3"/>
      <c r="AS813" s="4"/>
      <c r="AT813" s="4"/>
      <c r="AU813" s="3"/>
      <c r="BB813" s="4"/>
      <c r="BC813" s="3"/>
      <c r="BJ813" s="4"/>
      <c r="BK813" s="3"/>
      <c r="BR813" s="4"/>
      <c r="BS813" s="3"/>
      <c r="BZ813" s="4"/>
    </row>
    <row r="814" ht="14.25" customHeight="1">
      <c r="T814" s="3"/>
      <c r="AA814" s="4"/>
      <c r="AB814" s="4"/>
      <c r="AC814" s="3"/>
      <c r="AK814" s="4"/>
      <c r="AL814" s="3"/>
      <c r="AS814" s="4"/>
      <c r="AT814" s="4"/>
      <c r="AU814" s="3"/>
      <c r="BB814" s="4"/>
      <c r="BC814" s="3"/>
      <c r="BJ814" s="4"/>
      <c r="BK814" s="3"/>
      <c r="BR814" s="4"/>
      <c r="BS814" s="3"/>
      <c r="BZ814" s="4"/>
    </row>
    <row r="815" ht="14.25" customHeight="1">
      <c r="T815" s="3"/>
      <c r="AA815" s="4"/>
      <c r="AB815" s="4"/>
      <c r="AC815" s="3"/>
      <c r="AK815" s="4"/>
      <c r="AL815" s="3"/>
      <c r="AS815" s="4"/>
      <c r="AT815" s="4"/>
      <c r="AU815" s="3"/>
      <c r="BB815" s="4"/>
      <c r="BC815" s="3"/>
      <c r="BJ815" s="4"/>
      <c r="BK815" s="3"/>
      <c r="BR815" s="4"/>
      <c r="BS815" s="3"/>
      <c r="BZ815" s="4"/>
    </row>
    <row r="816" ht="14.25" customHeight="1">
      <c r="T816" s="3"/>
      <c r="AA816" s="4"/>
      <c r="AB816" s="4"/>
      <c r="AC816" s="3"/>
      <c r="AK816" s="4"/>
      <c r="AL816" s="3"/>
      <c r="AS816" s="4"/>
      <c r="AT816" s="4"/>
      <c r="AU816" s="3"/>
      <c r="BB816" s="4"/>
      <c r="BC816" s="3"/>
      <c r="BJ816" s="4"/>
      <c r="BK816" s="3"/>
      <c r="BR816" s="4"/>
      <c r="BS816" s="3"/>
      <c r="BZ816" s="4"/>
    </row>
    <row r="817" ht="14.25" customHeight="1">
      <c r="T817" s="3"/>
      <c r="AA817" s="4"/>
      <c r="AB817" s="4"/>
      <c r="AC817" s="3"/>
      <c r="AK817" s="4"/>
      <c r="AL817" s="3"/>
      <c r="AS817" s="4"/>
      <c r="AT817" s="4"/>
      <c r="AU817" s="3"/>
      <c r="BB817" s="4"/>
      <c r="BC817" s="3"/>
      <c r="BJ817" s="4"/>
      <c r="BK817" s="3"/>
      <c r="BR817" s="4"/>
      <c r="BS817" s="3"/>
      <c r="BZ817" s="4"/>
    </row>
    <row r="818" ht="14.25" customHeight="1">
      <c r="T818" s="3"/>
      <c r="AA818" s="4"/>
      <c r="AB818" s="4"/>
      <c r="AC818" s="3"/>
      <c r="AK818" s="4"/>
      <c r="AL818" s="3"/>
      <c r="AS818" s="4"/>
      <c r="AT818" s="4"/>
      <c r="AU818" s="3"/>
      <c r="BB818" s="4"/>
      <c r="BC818" s="3"/>
      <c r="BJ818" s="4"/>
      <c r="BK818" s="3"/>
      <c r="BR818" s="4"/>
      <c r="BS818" s="3"/>
      <c r="BZ818" s="4"/>
    </row>
    <row r="819" ht="14.25" customHeight="1">
      <c r="T819" s="3"/>
      <c r="AA819" s="4"/>
      <c r="AB819" s="4"/>
      <c r="AC819" s="3"/>
      <c r="AK819" s="4"/>
      <c r="AL819" s="3"/>
      <c r="AS819" s="4"/>
      <c r="AT819" s="4"/>
      <c r="AU819" s="3"/>
      <c r="BB819" s="4"/>
      <c r="BC819" s="3"/>
      <c r="BJ819" s="4"/>
      <c r="BK819" s="3"/>
      <c r="BR819" s="4"/>
      <c r="BS819" s="3"/>
      <c r="BZ819" s="4"/>
    </row>
    <row r="820" ht="14.25" customHeight="1">
      <c r="T820" s="3"/>
      <c r="AA820" s="4"/>
      <c r="AB820" s="4"/>
      <c r="AC820" s="3"/>
      <c r="AK820" s="4"/>
      <c r="AL820" s="3"/>
      <c r="AS820" s="4"/>
      <c r="AT820" s="4"/>
      <c r="AU820" s="3"/>
      <c r="BB820" s="4"/>
      <c r="BC820" s="3"/>
      <c r="BJ820" s="4"/>
      <c r="BK820" s="3"/>
      <c r="BR820" s="4"/>
      <c r="BS820" s="3"/>
      <c r="BZ820" s="4"/>
    </row>
    <row r="821" ht="14.25" customHeight="1">
      <c r="T821" s="3"/>
      <c r="AA821" s="4"/>
      <c r="AB821" s="4"/>
      <c r="AC821" s="3"/>
      <c r="AK821" s="4"/>
      <c r="AL821" s="3"/>
      <c r="AS821" s="4"/>
      <c r="AT821" s="4"/>
      <c r="AU821" s="3"/>
      <c r="BB821" s="4"/>
      <c r="BC821" s="3"/>
      <c r="BJ821" s="4"/>
      <c r="BK821" s="3"/>
      <c r="BR821" s="4"/>
      <c r="BS821" s="3"/>
      <c r="BZ821" s="4"/>
    </row>
    <row r="822" ht="14.25" customHeight="1">
      <c r="T822" s="3"/>
      <c r="AA822" s="4"/>
      <c r="AB822" s="4"/>
      <c r="AC822" s="3"/>
      <c r="AK822" s="4"/>
      <c r="AL822" s="3"/>
      <c r="AS822" s="4"/>
      <c r="AT822" s="4"/>
      <c r="AU822" s="3"/>
      <c r="BB822" s="4"/>
      <c r="BC822" s="3"/>
      <c r="BJ822" s="4"/>
      <c r="BK822" s="3"/>
      <c r="BR822" s="4"/>
      <c r="BS822" s="3"/>
      <c r="BZ822" s="4"/>
    </row>
    <row r="823" ht="14.25" customHeight="1">
      <c r="T823" s="3"/>
      <c r="AA823" s="4"/>
      <c r="AB823" s="4"/>
      <c r="AC823" s="3"/>
      <c r="AK823" s="4"/>
      <c r="AL823" s="3"/>
      <c r="AS823" s="4"/>
      <c r="AT823" s="4"/>
      <c r="AU823" s="3"/>
      <c r="BB823" s="4"/>
      <c r="BC823" s="3"/>
      <c r="BJ823" s="4"/>
      <c r="BK823" s="3"/>
      <c r="BR823" s="4"/>
      <c r="BS823" s="3"/>
      <c r="BZ823" s="4"/>
    </row>
    <row r="824" ht="14.25" customHeight="1">
      <c r="T824" s="3"/>
      <c r="AA824" s="4"/>
      <c r="AB824" s="4"/>
      <c r="AC824" s="3"/>
      <c r="AK824" s="4"/>
      <c r="AL824" s="3"/>
      <c r="AS824" s="4"/>
      <c r="AT824" s="4"/>
      <c r="AU824" s="3"/>
      <c r="BB824" s="4"/>
      <c r="BC824" s="3"/>
      <c r="BJ824" s="4"/>
      <c r="BK824" s="3"/>
      <c r="BR824" s="4"/>
      <c r="BS824" s="3"/>
      <c r="BZ824" s="4"/>
    </row>
    <row r="825" ht="14.25" customHeight="1">
      <c r="T825" s="3"/>
      <c r="AA825" s="4"/>
      <c r="AB825" s="4"/>
      <c r="AC825" s="3"/>
      <c r="AK825" s="4"/>
      <c r="AL825" s="3"/>
      <c r="AS825" s="4"/>
      <c r="AT825" s="4"/>
      <c r="AU825" s="3"/>
      <c r="BB825" s="4"/>
      <c r="BC825" s="3"/>
      <c r="BJ825" s="4"/>
      <c r="BK825" s="3"/>
      <c r="BR825" s="4"/>
      <c r="BS825" s="3"/>
      <c r="BZ825" s="4"/>
    </row>
    <row r="826" ht="14.25" customHeight="1">
      <c r="T826" s="3"/>
      <c r="AA826" s="4"/>
      <c r="AB826" s="4"/>
      <c r="AC826" s="3"/>
      <c r="AK826" s="4"/>
      <c r="AL826" s="3"/>
      <c r="AS826" s="4"/>
      <c r="AT826" s="4"/>
      <c r="AU826" s="3"/>
      <c r="BB826" s="4"/>
      <c r="BC826" s="3"/>
      <c r="BJ826" s="4"/>
      <c r="BK826" s="3"/>
      <c r="BR826" s="4"/>
      <c r="BS826" s="3"/>
      <c r="BZ826" s="4"/>
    </row>
    <row r="827" ht="14.25" customHeight="1">
      <c r="T827" s="3"/>
      <c r="AA827" s="4"/>
      <c r="AB827" s="4"/>
      <c r="AC827" s="3"/>
      <c r="AK827" s="4"/>
      <c r="AL827" s="3"/>
      <c r="AS827" s="4"/>
      <c r="AT827" s="4"/>
      <c r="AU827" s="3"/>
      <c r="BB827" s="4"/>
      <c r="BC827" s="3"/>
      <c r="BJ827" s="4"/>
      <c r="BK827" s="3"/>
      <c r="BR827" s="4"/>
      <c r="BS827" s="3"/>
      <c r="BZ827" s="4"/>
    </row>
    <row r="828" ht="14.25" customHeight="1">
      <c r="T828" s="3"/>
      <c r="AA828" s="4"/>
      <c r="AB828" s="4"/>
      <c r="AC828" s="3"/>
      <c r="AK828" s="4"/>
      <c r="AL828" s="3"/>
      <c r="AS828" s="4"/>
      <c r="AT828" s="4"/>
      <c r="AU828" s="3"/>
      <c r="BB828" s="4"/>
      <c r="BC828" s="3"/>
      <c r="BJ828" s="4"/>
      <c r="BK828" s="3"/>
      <c r="BR828" s="4"/>
      <c r="BS828" s="3"/>
      <c r="BZ828" s="4"/>
    </row>
    <row r="829" ht="14.25" customHeight="1">
      <c r="T829" s="3"/>
      <c r="AA829" s="4"/>
      <c r="AB829" s="4"/>
      <c r="AC829" s="3"/>
      <c r="AK829" s="4"/>
      <c r="AL829" s="3"/>
      <c r="AS829" s="4"/>
      <c r="AT829" s="4"/>
      <c r="AU829" s="3"/>
      <c r="BB829" s="4"/>
      <c r="BC829" s="3"/>
      <c r="BJ829" s="4"/>
      <c r="BK829" s="3"/>
      <c r="BR829" s="4"/>
      <c r="BS829" s="3"/>
      <c r="BZ829" s="4"/>
    </row>
    <row r="830" ht="14.25" customHeight="1">
      <c r="T830" s="3"/>
      <c r="AA830" s="4"/>
      <c r="AB830" s="4"/>
      <c r="AC830" s="3"/>
      <c r="AK830" s="4"/>
      <c r="AL830" s="3"/>
      <c r="AS830" s="4"/>
      <c r="AT830" s="4"/>
      <c r="AU830" s="3"/>
      <c r="BB830" s="4"/>
      <c r="BC830" s="3"/>
      <c r="BJ830" s="4"/>
      <c r="BK830" s="3"/>
      <c r="BR830" s="4"/>
      <c r="BS830" s="3"/>
      <c r="BZ830" s="4"/>
    </row>
    <row r="831" ht="14.25" customHeight="1">
      <c r="T831" s="3"/>
      <c r="AA831" s="4"/>
      <c r="AB831" s="4"/>
      <c r="AC831" s="3"/>
      <c r="AK831" s="4"/>
      <c r="AL831" s="3"/>
      <c r="AS831" s="4"/>
      <c r="AT831" s="4"/>
      <c r="AU831" s="3"/>
      <c r="BB831" s="4"/>
      <c r="BC831" s="3"/>
      <c r="BJ831" s="4"/>
      <c r="BK831" s="3"/>
      <c r="BR831" s="4"/>
      <c r="BS831" s="3"/>
      <c r="BZ831" s="4"/>
    </row>
    <row r="832" ht="14.25" customHeight="1">
      <c r="T832" s="3"/>
      <c r="AA832" s="4"/>
      <c r="AB832" s="4"/>
      <c r="AC832" s="3"/>
      <c r="AK832" s="4"/>
      <c r="AL832" s="3"/>
      <c r="AS832" s="4"/>
      <c r="AT832" s="4"/>
      <c r="AU832" s="3"/>
      <c r="BB832" s="4"/>
      <c r="BC832" s="3"/>
      <c r="BJ832" s="4"/>
      <c r="BK832" s="3"/>
      <c r="BR832" s="4"/>
      <c r="BS832" s="3"/>
      <c r="BZ832" s="4"/>
    </row>
    <row r="833" ht="14.25" customHeight="1">
      <c r="T833" s="3"/>
      <c r="AA833" s="4"/>
      <c r="AB833" s="4"/>
      <c r="AC833" s="3"/>
      <c r="AK833" s="4"/>
      <c r="AL833" s="3"/>
      <c r="AS833" s="4"/>
      <c r="AT833" s="4"/>
      <c r="AU833" s="3"/>
      <c r="BB833" s="4"/>
      <c r="BC833" s="3"/>
      <c r="BJ833" s="4"/>
      <c r="BK833" s="3"/>
      <c r="BR833" s="4"/>
      <c r="BS833" s="3"/>
      <c r="BZ833" s="4"/>
    </row>
    <row r="834" ht="14.25" customHeight="1">
      <c r="T834" s="3"/>
      <c r="AA834" s="4"/>
      <c r="AB834" s="4"/>
      <c r="AC834" s="3"/>
      <c r="AK834" s="4"/>
      <c r="AL834" s="3"/>
      <c r="AS834" s="4"/>
      <c r="AT834" s="4"/>
      <c r="AU834" s="3"/>
      <c r="BB834" s="4"/>
      <c r="BC834" s="3"/>
      <c r="BJ834" s="4"/>
      <c r="BK834" s="3"/>
      <c r="BR834" s="4"/>
      <c r="BS834" s="3"/>
      <c r="BZ834" s="4"/>
    </row>
    <row r="835" ht="14.25" customHeight="1">
      <c r="T835" s="3"/>
      <c r="AA835" s="4"/>
      <c r="AB835" s="4"/>
      <c r="AC835" s="3"/>
      <c r="AK835" s="4"/>
      <c r="AL835" s="3"/>
      <c r="AS835" s="4"/>
      <c r="AT835" s="4"/>
      <c r="AU835" s="3"/>
      <c r="BB835" s="4"/>
      <c r="BC835" s="3"/>
      <c r="BJ835" s="4"/>
      <c r="BK835" s="3"/>
      <c r="BR835" s="4"/>
      <c r="BS835" s="3"/>
      <c r="BZ835" s="4"/>
    </row>
    <row r="836" ht="14.25" customHeight="1">
      <c r="T836" s="3"/>
      <c r="AA836" s="4"/>
      <c r="AB836" s="4"/>
      <c r="AC836" s="3"/>
      <c r="AK836" s="4"/>
      <c r="AL836" s="3"/>
      <c r="AS836" s="4"/>
      <c r="AT836" s="4"/>
      <c r="AU836" s="3"/>
      <c r="BB836" s="4"/>
      <c r="BC836" s="3"/>
      <c r="BJ836" s="4"/>
      <c r="BK836" s="3"/>
      <c r="BR836" s="4"/>
      <c r="BS836" s="3"/>
      <c r="BZ836" s="4"/>
    </row>
    <row r="837" ht="14.25" customHeight="1">
      <c r="T837" s="3"/>
      <c r="AA837" s="4"/>
      <c r="AB837" s="4"/>
      <c r="AC837" s="3"/>
      <c r="AK837" s="4"/>
      <c r="AL837" s="3"/>
      <c r="AS837" s="4"/>
      <c r="AT837" s="4"/>
      <c r="AU837" s="3"/>
      <c r="BB837" s="4"/>
      <c r="BC837" s="3"/>
      <c r="BJ837" s="4"/>
      <c r="BK837" s="3"/>
      <c r="BR837" s="4"/>
      <c r="BS837" s="3"/>
      <c r="BZ837" s="4"/>
    </row>
    <row r="838" ht="14.25" customHeight="1">
      <c r="T838" s="3"/>
      <c r="AA838" s="4"/>
      <c r="AB838" s="4"/>
      <c r="AC838" s="3"/>
      <c r="AK838" s="4"/>
      <c r="AL838" s="3"/>
      <c r="AS838" s="4"/>
      <c r="AT838" s="4"/>
      <c r="AU838" s="3"/>
      <c r="BB838" s="4"/>
      <c r="BC838" s="3"/>
      <c r="BJ838" s="4"/>
      <c r="BK838" s="3"/>
      <c r="BR838" s="4"/>
      <c r="BS838" s="3"/>
      <c r="BZ838" s="4"/>
    </row>
    <row r="839" ht="14.25" customHeight="1">
      <c r="T839" s="3"/>
      <c r="AA839" s="4"/>
      <c r="AB839" s="4"/>
      <c r="AC839" s="3"/>
      <c r="AK839" s="4"/>
      <c r="AL839" s="3"/>
      <c r="AS839" s="4"/>
      <c r="AT839" s="4"/>
      <c r="AU839" s="3"/>
      <c r="BB839" s="4"/>
      <c r="BC839" s="3"/>
      <c r="BJ839" s="4"/>
      <c r="BK839" s="3"/>
      <c r="BR839" s="4"/>
      <c r="BS839" s="3"/>
      <c r="BZ839" s="4"/>
    </row>
    <row r="840" ht="14.25" customHeight="1">
      <c r="T840" s="3"/>
      <c r="AA840" s="4"/>
      <c r="AB840" s="4"/>
      <c r="AC840" s="3"/>
      <c r="AK840" s="4"/>
      <c r="AL840" s="3"/>
      <c r="AS840" s="4"/>
      <c r="AT840" s="4"/>
      <c r="AU840" s="3"/>
      <c r="BB840" s="4"/>
      <c r="BC840" s="3"/>
      <c r="BJ840" s="4"/>
      <c r="BK840" s="3"/>
      <c r="BR840" s="4"/>
      <c r="BS840" s="3"/>
      <c r="BZ840" s="4"/>
    </row>
    <row r="841" ht="14.25" customHeight="1">
      <c r="T841" s="3"/>
      <c r="AA841" s="4"/>
      <c r="AB841" s="4"/>
      <c r="AC841" s="3"/>
      <c r="AK841" s="4"/>
      <c r="AL841" s="3"/>
      <c r="AS841" s="4"/>
      <c r="AT841" s="4"/>
      <c r="AU841" s="3"/>
      <c r="BB841" s="4"/>
      <c r="BC841" s="3"/>
      <c r="BJ841" s="4"/>
      <c r="BK841" s="3"/>
      <c r="BR841" s="4"/>
      <c r="BS841" s="3"/>
      <c r="BZ841" s="4"/>
    </row>
    <row r="842" ht="14.25" customHeight="1">
      <c r="T842" s="3"/>
      <c r="AA842" s="4"/>
      <c r="AB842" s="4"/>
      <c r="AC842" s="3"/>
      <c r="AK842" s="4"/>
      <c r="AL842" s="3"/>
      <c r="AS842" s="4"/>
      <c r="AT842" s="4"/>
      <c r="AU842" s="3"/>
      <c r="BB842" s="4"/>
      <c r="BC842" s="3"/>
      <c r="BJ842" s="4"/>
      <c r="BK842" s="3"/>
      <c r="BR842" s="4"/>
      <c r="BS842" s="3"/>
      <c r="BZ842" s="4"/>
    </row>
    <row r="843" ht="14.25" customHeight="1">
      <c r="T843" s="3"/>
      <c r="AA843" s="4"/>
      <c r="AB843" s="4"/>
      <c r="AC843" s="3"/>
      <c r="AK843" s="4"/>
      <c r="AL843" s="3"/>
      <c r="AS843" s="4"/>
      <c r="AT843" s="4"/>
      <c r="AU843" s="3"/>
      <c r="BB843" s="4"/>
      <c r="BC843" s="3"/>
      <c r="BJ843" s="4"/>
      <c r="BK843" s="3"/>
      <c r="BR843" s="4"/>
      <c r="BS843" s="3"/>
      <c r="BZ843" s="4"/>
    </row>
    <row r="844" ht="14.25" customHeight="1">
      <c r="T844" s="3"/>
      <c r="AA844" s="4"/>
      <c r="AB844" s="4"/>
      <c r="AC844" s="3"/>
      <c r="AK844" s="4"/>
      <c r="AL844" s="3"/>
      <c r="AS844" s="4"/>
      <c r="AT844" s="4"/>
      <c r="AU844" s="3"/>
      <c r="BB844" s="4"/>
      <c r="BC844" s="3"/>
      <c r="BJ844" s="4"/>
      <c r="BK844" s="3"/>
      <c r="BR844" s="4"/>
      <c r="BS844" s="3"/>
      <c r="BZ844" s="4"/>
    </row>
    <row r="845" ht="14.25" customHeight="1">
      <c r="T845" s="3"/>
      <c r="AA845" s="4"/>
      <c r="AB845" s="4"/>
      <c r="AC845" s="3"/>
      <c r="AK845" s="4"/>
      <c r="AL845" s="3"/>
      <c r="AS845" s="4"/>
      <c r="AT845" s="4"/>
      <c r="AU845" s="3"/>
      <c r="BB845" s="4"/>
      <c r="BC845" s="3"/>
      <c r="BJ845" s="4"/>
      <c r="BK845" s="3"/>
      <c r="BR845" s="4"/>
      <c r="BS845" s="3"/>
      <c r="BZ845" s="4"/>
    </row>
    <row r="846" ht="14.25" customHeight="1">
      <c r="T846" s="3"/>
      <c r="AA846" s="4"/>
      <c r="AB846" s="4"/>
      <c r="AC846" s="3"/>
      <c r="AK846" s="4"/>
      <c r="AL846" s="3"/>
      <c r="AS846" s="4"/>
      <c r="AT846" s="4"/>
      <c r="AU846" s="3"/>
      <c r="BB846" s="4"/>
      <c r="BC846" s="3"/>
      <c r="BJ846" s="4"/>
      <c r="BK846" s="3"/>
      <c r="BR846" s="4"/>
      <c r="BS846" s="3"/>
      <c r="BZ846" s="4"/>
    </row>
    <row r="847" ht="14.25" customHeight="1">
      <c r="T847" s="3"/>
      <c r="AA847" s="4"/>
      <c r="AB847" s="4"/>
      <c r="AC847" s="3"/>
      <c r="AK847" s="4"/>
      <c r="AL847" s="3"/>
      <c r="AS847" s="4"/>
      <c r="AT847" s="4"/>
      <c r="AU847" s="3"/>
      <c r="BB847" s="4"/>
      <c r="BC847" s="3"/>
      <c r="BJ847" s="4"/>
      <c r="BK847" s="3"/>
      <c r="BR847" s="4"/>
      <c r="BS847" s="3"/>
      <c r="BZ847" s="4"/>
    </row>
    <row r="848" ht="14.25" customHeight="1">
      <c r="T848" s="3"/>
      <c r="AA848" s="4"/>
      <c r="AB848" s="4"/>
      <c r="AC848" s="3"/>
      <c r="AK848" s="4"/>
      <c r="AL848" s="3"/>
      <c r="AS848" s="4"/>
      <c r="AT848" s="4"/>
      <c r="AU848" s="3"/>
      <c r="BB848" s="4"/>
      <c r="BC848" s="3"/>
      <c r="BJ848" s="4"/>
      <c r="BK848" s="3"/>
      <c r="BR848" s="4"/>
      <c r="BS848" s="3"/>
      <c r="BZ848" s="4"/>
    </row>
    <row r="849" ht="14.25" customHeight="1">
      <c r="T849" s="3"/>
      <c r="AA849" s="4"/>
      <c r="AB849" s="4"/>
      <c r="AC849" s="3"/>
      <c r="AK849" s="4"/>
      <c r="AL849" s="3"/>
      <c r="AS849" s="4"/>
      <c r="AT849" s="4"/>
      <c r="AU849" s="3"/>
      <c r="BB849" s="4"/>
      <c r="BC849" s="3"/>
      <c r="BJ849" s="4"/>
      <c r="BK849" s="3"/>
      <c r="BR849" s="4"/>
      <c r="BS849" s="3"/>
      <c r="BZ849" s="4"/>
    </row>
    <row r="850" ht="14.25" customHeight="1">
      <c r="T850" s="3"/>
      <c r="AA850" s="4"/>
      <c r="AB850" s="4"/>
      <c r="AC850" s="3"/>
      <c r="AK850" s="4"/>
      <c r="AL850" s="3"/>
      <c r="AS850" s="4"/>
      <c r="AT850" s="4"/>
      <c r="AU850" s="3"/>
      <c r="BB850" s="4"/>
      <c r="BC850" s="3"/>
      <c r="BJ850" s="4"/>
      <c r="BK850" s="3"/>
      <c r="BR850" s="4"/>
      <c r="BS850" s="3"/>
      <c r="BZ850" s="4"/>
    </row>
    <row r="851" ht="14.25" customHeight="1">
      <c r="T851" s="3"/>
      <c r="AA851" s="4"/>
      <c r="AB851" s="4"/>
      <c r="AC851" s="3"/>
      <c r="AK851" s="4"/>
      <c r="AL851" s="3"/>
      <c r="AS851" s="4"/>
      <c r="AT851" s="4"/>
      <c r="AU851" s="3"/>
      <c r="BB851" s="4"/>
      <c r="BC851" s="3"/>
      <c r="BJ851" s="4"/>
      <c r="BK851" s="3"/>
      <c r="BR851" s="4"/>
      <c r="BS851" s="3"/>
      <c r="BZ851" s="4"/>
    </row>
    <row r="852" ht="14.25" customHeight="1">
      <c r="T852" s="3"/>
      <c r="AA852" s="4"/>
      <c r="AB852" s="4"/>
      <c r="AC852" s="3"/>
      <c r="AK852" s="4"/>
      <c r="AL852" s="3"/>
      <c r="AS852" s="4"/>
      <c r="AT852" s="4"/>
      <c r="AU852" s="3"/>
      <c r="BB852" s="4"/>
      <c r="BC852" s="3"/>
      <c r="BJ852" s="4"/>
      <c r="BK852" s="3"/>
      <c r="BR852" s="4"/>
      <c r="BS852" s="3"/>
      <c r="BZ852" s="4"/>
    </row>
    <row r="853" ht="14.25" customHeight="1">
      <c r="T853" s="3"/>
      <c r="AA853" s="4"/>
      <c r="AB853" s="4"/>
      <c r="AC853" s="3"/>
      <c r="AK853" s="4"/>
      <c r="AL853" s="3"/>
      <c r="AS853" s="4"/>
      <c r="AT853" s="4"/>
      <c r="AU853" s="3"/>
      <c r="BB853" s="4"/>
      <c r="BC853" s="3"/>
      <c r="BJ853" s="4"/>
      <c r="BK853" s="3"/>
      <c r="BR853" s="4"/>
      <c r="BS853" s="3"/>
      <c r="BZ853" s="4"/>
    </row>
    <row r="854" ht="14.25" customHeight="1">
      <c r="T854" s="3"/>
      <c r="AA854" s="4"/>
      <c r="AB854" s="4"/>
      <c r="AC854" s="3"/>
      <c r="AK854" s="4"/>
      <c r="AL854" s="3"/>
      <c r="AS854" s="4"/>
      <c r="AT854" s="4"/>
      <c r="AU854" s="3"/>
      <c r="BB854" s="4"/>
      <c r="BC854" s="3"/>
      <c r="BJ854" s="4"/>
      <c r="BK854" s="3"/>
      <c r="BR854" s="4"/>
      <c r="BS854" s="3"/>
      <c r="BZ854" s="4"/>
    </row>
    <row r="855" ht="14.25" customHeight="1">
      <c r="T855" s="3"/>
      <c r="AA855" s="4"/>
      <c r="AB855" s="4"/>
      <c r="AC855" s="3"/>
      <c r="AK855" s="4"/>
      <c r="AL855" s="3"/>
      <c r="AS855" s="4"/>
      <c r="AT855" s="4"/>
      <c r="AU855" s="3"/>
      <c r="BB855" s="4"/>
      <c r="BC855" s="3"/>
      <c r="BJ855" s="4"/>
      <c r="BK855" s="3"/>
      <c r="BR855" s="4"/>
      <c r="BS855" s="3"/>
      <c r="BZ855" s="4"/>
    </row>
    <row r="856" ht="14.25" customHeight="1">
      <c r="T856" s="3"/>
      <c r="AA856" s="4"/>
      <c r="AB856" s="4"/>
      <c r="AC856" s="3"/>
      <c r="AK856" s="4"/>
      <c r="AL856" s="3"/>
      <c r="AS856" s="4"/>
      <c r="AT856" s="4"/>
      <c r="AU856" s="3"/>
      <c r="BB856" s="4"/>
      <c r="BC856" s="3"/>
      <c r="BJ856" s="4"/>
      <c r="BK856" s="3"/>
      <c r="BR856" s="4"/>
      <c r="BS856" s="3"/>
      <c r="BZ856" s="4"/>
    </row>
    <row r="857" ht="14.25" customHeight="1">
      <c r="T857" s="3"/>
      <c r="AA857" s="4"/>
      <c r="AB857" s="4"/>
      <c r="AC857" s="3"/>
      <c r="AK857" s="4"/>
      <c r="AL857" s="3"/>
      <c r="AS857" s="4"/>
      <c r="AT857" s="4"/>
      <c r="AU857" s="3"/>
      <c r="BB857" s="4"/>
      <c r="BC857" s="3"/>
      <c r="BJ857" s="4"/>
      <c r="BK857" s="3"/>
      <c r="BR857" s="4"/>
      <c r="BS857" s="3"/>
      <c r="BZ857" s="4"/>
    </row>
    <row r="858" ht="14.25" customHeight="1">
      <c r="T858" s="3"/>
      <c r="AA858" s="4"/>
      <c r="AB858" s="4"/>
      <c r="AC858" s="3"/>
      <c r="AK858" s="4"/>
      <c r="AL858" s="3"/>
      <c r="AS858" s="4"/>
      <c r="AT858" s="4"/>
      <c r="AU858" s="3"/>
      <c r="BB858" s="4"/>
      <c r="BC858" s="3"/>
      <c r="BJ858" s="4"/>
      <c r="BK858" s="3"/>
      <c r="BR858" s="4"/>
      <c r="BS858" s="3"/>
      <c r="BZ858" s="4"/>
    </row>
    <row r="859" ht="14.25" customHeight="1">
      <c r="T859" s="3"/>
      <c r="AA859" s="4"/>
      <c r="AB859" s="4"/>
      <c r="AC859" s="3"/>
      <c r="AK859" s="4"/>
      <c r="AL859" s="3"/>
      <c r="AS859" s="4"/>
      <c r="AT859" s="4"/>
      <c r="AU859" s="3"/>
      <c r="BB859" s="4"/>
      <c r="BC859" s="3"/>
      <c r="BJ859" s="4"/>
      <c r="BK859" s="3"/>
      <c r="BR859" s="4"/>
      <c r="BS859" s="3"/>
      <c r="BZ859" s="4"/>
    </row>
    <row r="860" ht="14.25" customHeight="1">
      <c r="T860" s="3"/>
      <c r="AA860" s="4"/>
      <c r="AB860" s="4"/>
      <c r="AC860" s="3"/>
      <c r="AK860" s="4"/>
      <c r="AL860" s="3"/>
      <c r="AS860" s="4"/>
      <c r="AT860" s="4"/>
      <c r="AU860" s="3"/>
      <c r="BB860" s="4"/>
      <c r="BC860" s="3"/>
      <c r="BJ860" s="4"/>
      <c r="BK860" s="3"/>
      <c r="BR860" s="4"/>
      <c r="BS860" s="3"/>
      <c r="BZ860" s="4"/>
    </row>
    <row r="861" ht="14.25" customHeight="1">
      <c r="T861" s="3"/>
      <c r="AA861" s="4"/>
      <c r="AB861" s="4"/>
      <c r="AC861" s="3"/>
      <c r="AK861" s="4"/>
      <c r="AL861" s="3"/>
      <c r="AS861" s="4"/>
      <c r="AT861" s="4"/>
      <c r="AU861" s="3"/>
      <c r="BB861" s="4"/>
      <c r="BC861" s="3"/>
      <c r="BJ861" s="4"/>
      <c r="BK861" s="3"/>
      <c r="BR861" s="4"/>
      <c r="BS861" s="3"/>
      <c r="BZ861" s="4"/>
    </row>
    <row r="862" ht="14.25" customHeight="1">
      <c r="T862" s="3"/>
      <c r="AA862" s="4"/>
      <c r="AB862" s="4"/>
      <c r="AC862" s="3"/>
      <c r="AK862" s="4"/>
      <c r="AL862" s="3"/>
      <c r="AS862" s="4"/>
      <c r="AT862" s="4"/>
      <c r="AU862" s="3"/>
      <c r="BB862" s="4"/>
      <c r="BC862" s="3"/>
      <c r="BJ862" s="4"/>
      <c r="BK862" s="3"/>
      <c r="BR862" s="4"/>
      <c r="BS862" s="3"/>
      <c r="BZ862" s="4"/>
    </row>
    <row r="863" ht="14.25" customHeight="1">
      <c r="T863" s="3"/>
      <c r="AA863" s="4"/>
      <c r="AB863" s="4"/>
      <c r="AC863" s="3"/>
      <c r="AK863" s="4"/>
      <c r="AL863" s="3"/>
      <c r="AS863" s="4"/>
      <c r="AT863" s="4"/>
      <c r="AU863" s="3"/>
      <c r="BB863" s="4"/>
      <c r="BC863" s="3"/>
      <c r="BJ863" s="4"/>
      <c r="BK863" s="3"/>
      <c r="BR863" s="4"/>
      <c r="BS863" s="3"/>
      <c r="BZ863" s="4"/>
    </row>
    <row r="864" ht="14.25" customHeight="1">
      <c r="T864" s="3"/>
      <c r="AA864" s="4"/>
      <c r="AB864" s="4"/>
      <c r="AC864" s="3"/>
      <c r="AK864" s="4"/>
      <c r="AL864" s="3"/>
      <c r="AS864" s="4"/>
      <c r="AT864" s="4"/>
      <c r="AU864" s="3"/>
      <c r="BB864" s="4"/>
      <c r="BC864" s="3"/>
      <c r="BJ864" s="4"/>
      <c r="BK864" s="3"/>
      <c r="BR864" s="4"/>
      <c r="BS864" s="3"/>
      <c r="BZ864" s="4"/>
    </row>
    <row r="865" ht="14.25" customHeight="1">
      <c r="T865" s="3"/>
      <c r="AA865" s="4"/>
      <c r="AB865" s="4"/>
      <c r="AC865" s="3"/>
      <c r="AK865" s="4"/>
      <c r="AL865" s="3"/>
      <c r="AS865" s="4"/>
      <c r="AT865" s="4"/>
      <c r="AU865" s="3"/>
      <c r="BB865" s="4"/>
      <c r="BC865" s="3"/>
      <c r="BJ865" s="4"/>
      <c r="BK865" s="3"/>
      <c r="BR865" s="4"/>
      <c r="BS865" s="3"/>
      <c r="BZ865" s="4"/>
    </row>
    <row r="866" ht="14.25" customHeight="1">
      <c r="T866" s="3"/>
      <c r="AA866" s="4"/>
      <c r="AB866" s="4"/>
      <c r="AC866" s="3"/>
      <c r="AK866" s="4"/>
      <c r="AL866" s="3"/>
      <c r="AS866" s="4"/>
      <c r="AT866" s="4"/>
      <c r="AU866" s="3"/>
      <c r="BB866" s="4"/>
      <c r="BC866" s="3"/>
      <c r="BJ866" s="4"/>
      <c r="BK866" s="3"/>
      <c r="BR866" s="4"/>
      <c r="BS866" s="3"/>
      <c r="BZ866" s="4"/>
    </row>
    <row r="867" ht="14.25" customHeight="1">
      <c r="T867" s="3"/>
      <c r="AA867" s="4"/>
      <c r="AB867" s="4"/>
      <c r="AC867" s="3"/>
      <c r="AK867" s="4"/>
      <c r="AL867" s="3"/>
      <c r="AS867" s="4"/>
      <c r="AT867" s="4"/>
      <c r="AU867" s="3"/>
      <c r="BB867" s="4"/>
      <c r="BC867" s="3"/>
      <c r="BJ867" s="4"/>
      <c r="BK867" s="3"/>
      <c r="BR867" s="4"/>
      <c r="BS867" s="3"/>
      <c r="BZ867" s="4"/>
    </row>
    <row r="868" ht="14.25" customHeight="1">
      <c r="T868" s="3"/>
      <c r="AA868" s="4"/>
      <c r="AB868" s="4"/>
      <c r="AC868" s="3"/>
      <c r="AK868" s="4"/>
      <c r="AL868" s="3"/>
      <c r="AS868" s="4"/>
      <c r="AT868" s="4"/>
      <c r="AU868" s="3"/>
      <c r="BB868" s="4"/>
      <c r="BC868" s="3"/>
      <c r="BJ868" s="4"/>
      <c r="BK868" s="3"/>
      <c r="BR868" s="4"/>
      <c r="BS868" s="3"/>
      <c r="BZ868" s="4"/>
    </row>
    <row r="869" ht="14.25" customHeight="1">
      <c r="T869" s="3"/>
      <c r="AA869" s="4"/>
      <c r="AB869" s="4"/>
      <c r="AC869" s="3"/>
      <c r="AK869" s="4"/>
      <c r="AL869" s="3"/>
      <c r="AS869" s="4"/>
      <c r="AT869" s="4"/>
      <c r="AU869" s="3"/>
      <c r="BB869" s="4"/>
      <c r="BC869" s="3"/>
      <c r="BJ869" s="4"/>
      <c r="BK869" s="3"/>
      <c r="BR869" s="4"/>
      <c r="BS869" s="3"/>
      <c r="BZ869" s="4"/>
    </row>
    <row r="870" ht="14.25" customHeight="1">
      <c r="T870" s="3"/>
      <c r="AA870" s="4"/>
      <c r="AB870" s="4"/>
      <c r="AC870" s="3"/>
      <c r="AK870" s="4"/>
      <c r="AL870" s="3"/>
      <c r="AS870" s="4"/>
      <c r="AT870" s="4"/>
      <c r="AU870" s="3"/>
      <c r="BB870" s="4"/>
      <c r="BC870" s="3"/>
      <c r="BJ870" s="4"/>
      <c r="BK870" s="3"/>
      <c r="BR870" s="4"/>
      <c r="BS870" s="3"/>
      <c r="BZ870" s="4"/>
    </row>
    <row r="871" ht="14.25" customHeight="1">
      <c r="T871" s="3"/>
      <c r="AA871" s="4"/>
      <c r="AB871" s="4"/>
      <c r="AC871" s="3"/>
      <c r="AK871" s="4"/>
      <c r="AL871" s="3"/>
      <c r="AS871" s="4"/>
      <c r="AT871" s="4"/>
      <c r="AU871" s="3"/>
      <c r="BB871" s="4"/>
      <c r="BC871" s="3"/>
      <c r="BJ871" s="4"/>
      <c r="BK871" s="3"/>
      <c r="BR871" s="4"/>
      <c r="BS871" s="3"/>
      <c r="BZ871" s="4"/>
    </row>
    <row r="872" ht="14.25" customHeight="1">
      <c r="T872" s="3"/>
      <c r="AA872" s="4"/>
      <c r="AB872" s="4"/>
      <c r="AC872" s="3"/>
      <c r="AK872" s="4"/>
      <c r="AL872" s="3"/>
      <c r="AS872" s="4"/>
      <c r="AT872" s="4"/>
      <c r="AU872" s="3"/>
      <c r="BB872" s="4"/>
      <c r="BC872" s="3"/>
      <c r="BJ872" s="4"/>
      <c r="BK872" s="3"/>
      <c r="BR872" s="4"/>
      <c r="BS872" s="3"/>
      <c r="BZ872" s="4"/>
    </row>
    <row r="873" ht="14.25" customHeight="1">
      <c r="T873" s="3"/>
      <c r="AA873" s="4"/>
      <c r="AB873" s="4"/>
      <c r="AC873" s="3"/>
      <c r="AK873" s="4"/>
      <c r="AL873" s="3"/>
      <c r="AS873" s="4"/>
      <c r="AT873" s="4"/>
      <c r="AU873" s="3"/>
      <c r="BB873" s="4"/>
      <c r="BC873" s="3"/>
      <c r="BJ873" s="4"/>
      <c r="BK873" s="3"/>
      <c r="BR873" s="4"/>
      <c r="BS873" s="3"/>
      <c r="BZ873" s="4"/>
    </row>
    <row r="874" ht="14.25" customHeight="1">
      <c r="T874" s="3"/>
      <c r="AA874" s="4"/>
      <c r="AB874" s="4"/>
      <c r="AC874" s="3"/>
      <c r="AK874" s="4"/>
      <c r="AL874" s="3"/>
      <c r="AS874" s="4"/>
      <c r="AT874" s="4"/>
      <c r="AU874" s="3"/>
      <c r="BB874" s="4"/>
      <c r="BC874" s="3"/>
      <c r="BJ874" s="4"/>
      <c r="BK874" s="3"/>
      <c r="BR874" s="4"/>
      <c r="BS874" s="3"/>
      <c r="BZ874" s="4"/>
    </row>
    <row r="875" ht="14.25" customHeight="1">
      <c r="T875" s="3"/>
      <c r="AA875" s="4"/>
      <c r="AB875" s="4"/>
      <c r="AC875" s="3"/>
      <c r="AK875" s="4"/>
      <c r="AL875" s="3"/>
      <c r="AS875" s="4"/>
      <c r="AT875" s="4"/>
      <c r="AU875" s="3"/>
      <c r="BB875" s="4"/>
      <c r="BC875" s="3"/>
      <c r="BJ875" s="4"/>
      <c r="BK875" s="3"/>
      <c r="BR875" s="4"/>
      <c r="BS875" s="3"/>
      <c r="BZ875" s="4"/>
    </row>
    <row r="876" ht="14.25" customHeight="1">
      <c r="T876" s="3"/>
      <c r="AA876" s="4"/>
      <c r="AB876" s="4"/>
      <c r="AC876" s="3"/>
      <c r="AK876" s="4"/>
      <c r="AL876" s="3"/>
      <c r="AS876" s="4"/>
      <c r="AT876" s="4"/>
      <c r="AU876" s="3"/>
      <c r="BB876" s="4"/>
      <c r="BC876" s="3"/>
      <c r="BJ876" s="4"/>
      <c r="BK876" s="3"/>
      <c r="BR876" s="4"/>
      <c r="BS876" s="3"/>
      <c r="BZ876" s="4"/>
    </row>
    <row r="877" ht="14.25" customHeight="1">
      <c r="T877" s="3"/>
      <c r="AA877" s="4"/>
      <c r="AB877" s="4"/>
      <c r="AC877" s="3"/>
      <c r="AK877" s="4"/>
      <c r="AL877" s="3"/>
      <c r="AS877" s="4"/>
      <c r="AT877" s="4"/>
      <c r="AU877" s="3"/>
      <c r="BB877" s="4"/>
      <c r="BC877" s="3"/>
      <c r="BJ877" s="4"/>
      <c r="BK877" s="3"/>
      <c r="BR877" s="4"/>
      <c r="BS877" s="3"/>
      <c r="BZ877" s="4"/>
    </row>
    <row r="878" ht="14.25" customHeight="1">
      <c r="T878" s="3"/>
      <c r="AA878" s="4"/>
      <c r="AB878" s="4"/>
      <c r="AC878" s="3"/>
      <c r="AK878" s="4"/>
      <c r="AL878" s="3"/>
      <c r="AS878" s="4"/>
      <c r="AT878" s="4"/>
      <c r="AU878" s="3"/>
      <c r="BB878" s="4"/>
      <c r="BC878" s="3"/>
      <c r="BJ878" s="4"/>
      <c r="BK878" s="3"/>
      <c r="BR878" s="4"/>
      <c r="BS878" s="3"/>
      <c r="BZ878" s="4"/>
    </row>
    <row r="879" ht="14.25" customHeight="1">
      <c r="T879" s="3"/>
      <c r="AA879" s="4"/>
      <c r="AB879" s="4"/>
      <c r="AC879" s="3"/>
      <c r="AK879" s="4"/>
      <c r="AL879" s="3"/>
      <c r="AS879" s="4"/>
      <c r="AT879" s="4"/>
      <c r="AU879" s="3"/>
      <c r="BB879" s="4"/>
      <c r="BC879" s="3"/>
      <c r="BJ879" s="4"/>
      <c r="BK879" s="3"/>
      <c r="BR879" s="4"/>
      <c r="BS879" s="3"/>
      <c r="BZ879" s="4"/>
    </row>
    <row r="880" ht="14.25" customHeight="1">
      <c r="T880" s="3"/>
      <c r="AA880" s="4"/>
      <c r="AB880" s="4"/>
      <c r="AC880" s="3"/>
      <c r="AK880" s="4"/>
      <c r="AL880" s="3"/>
      <c r="AS880" s="4"/>
      <c r="AT880" s="4"/>
      <c r="AU880" s="3"/>
      <c r="BB880" s="4"/>
      <c r="BC880" s="3"/>
      <c r="BJ880" s="4"/>
      <c r="BK880" s="3"/>
      <c r="BR880" s="4"/>
      <c r="BS880" s="3"/>
      <c r="BZ880" s="4"/>
    </row>
    <row r="881" ht="14.25" customHeight="1">
      <c r="T881" s="3"/>
      <c r="AA881" s="4"/>
      <c r="AB881" s="4"/>
      <c r="AC881" s="3"/>
      <c r="AK881" s="4"/>
      <c r="AL881" s="3"/>
      <c r="AS881" s="4"/>
      <c r="AT881" s="4"/>
      <c r="AU881" s="3"/>
      <c r="BB881" s="4"/>
      <c r="BC881" s="3"/>
      <c r="BJ881" s="4"/>
      <c r="BK881" s="3"/>
      <c r="BR881" s="4"/>
      <c r="BS881" s="3"/>
      <c r="BZ881" s="4"/>
    </row>
    <row r="882" ht="14.25" customHeight="1">
      <c r="T882" s="3"/>
      <c r="AA882" s="4"/>
      <c r="AB882" s="4"/>
      <c r="AC882" s="3"/>
      <c r="AK882" s="4"/>
      <c r="AL882" s="3"/>
      <c r="AS882" s="4"/>
      <c r="AT882" s="4"/>
      <c r="AU882" s="3"/>
      <c r="BB882" s="4"/>
      <c r="BC882" s="3"/>
      <c r="BJ882" s="4"/>
      <c r="BK882" s="3"/>
      <c r="BR882" s="4"/>
      <c r="BS882" s="3"/>
      <c r="BZ882" s="4"/>
    </row>
    <row r="883" ht="14.25" customHeight="1">
      <c r="T883" s="3"/>
      <c r="AA883" s="4"/>
      <c r="AB883" s="4"/>
      <c r="AC883" s="3"/>
      <c r="AK883" s="4"/>
      <c r="AL883" s="3"/>
      <c r="AS883" s="4"/>
      <c r="AT883" s="4"/>
      <c r="AU883" s="3"/>
      <c r="BB883" s="4"/>
      <c r="BC883" s="3"/>
      <c r="BJ883" s="4"/>
      <c r="BK883" s="3"/>
      <c r="BR883" s="4"/>
      <c r="BS883" s="3"/>
      <c r="BZ883" s="4"/>
    </row>
    <row r="884" ht="14.25" customHeight="1">
      <c r="T884" s="3"/>
      <c r="AA884" s="4"/>
      <c r="AB884" s="4"/>
      <c r="AC884" s="3"/>
      <c r="AK884" s="4"/>
      <c r="AL884" s="3"/>
      <c r="AS884" s="4"/>
      <c r="AT884" s="4"/>
      <c r="AU884" s="3"/>
      <c r="BB884" s="4"/>
      <c r="BC884" s="3"/>
      <c r="BJ884" s="4"/>
      <c r="BK884" s="3"/>
      <c r="BR884" s="4"/>
      <c r="BS884" s="3"/>
      <c r="BZ884" s="4"/>
    </row>
    <row r="885" ht="14.25" customHeight="1">
      <c r="T885" s="3"/>
      <c r="AA885" s="4"/>
      <c r="AB885" s="4"/>
      <c r="AC885" s="3"/>
      <c r="AK885" s="4"/>
      <c r="AL885" s="3"/>
      <c r="AS885" s="4"/>
      <c r="AT885" s="4"/>
      <c r="AU885" s="3"/>
      <c r="BB885" s="4"/>
      <c r="BC885" s="3"/>
      <c r="BJ885" s="4"/>
      <c r="BK885" s="3"/>
      <c r="BR885" s="4"/>
      <c r="BS885" s="3"/>
      <c r="BZ885" s="4"/>
    </row>
    <row r="886" ht="14.25" customHeight="1">
      <c r="T886" s="3"/>
      <c r="AA886" s="4"/>
      <c r="AB886" s="4"/>
      <c r="AC886" s="3"/>
      <c r="AK886" s="4"/>
      <c r="AL886" s="3"/>
      <c r="AS886" s="4"/>
      <c r="AT886" s="4"/>
      <c r="AU886" s="3"/>
      <c r="BB886" s="4"/>
      <c r="BC886" s="3"/>
      <c r="BJ886" s="4"/>
      <c r="BK886" s="3"/>
      <c r="BR886" s="4"/>
      <c r="BS886" s="3"/>
      <c r="BZ886" s="4"/>
    </row>
    <row r="887" ht="14.25" customHeight="1">
      <c r="T887" s="3"/>
      <c r="AA887" s="4"/>
      <c r="AB887" s="4"/>
      <c r="AC887" s="3"/>
      <c r="AK887" s="4"/>
      <c r="AL887" s="3"/>
      <c r="AS887" s="4"/>
      <c r="AT887" s="4"/>
      <c r="AU887" s="3"/>
      <c r="BB887" s="4"/>
      <c r="BC887" s="3"/>
      <c r="BJ887" s="4"/>
      <c r="BK887" s="3"/>
      <c r="BR887" s="4"/>
      <c r="BS887" s="3"/>
      <c r="BZ887" s="4"/>
    </row>
    <row r="888" ht="14.25" customHeight="1">
      <c r="T888" s="3"/>
      <c r="AA888" s="4"/>
      <c r="AB888" s="4"/>
      <c r="AC888" s="3"/>
      <c r="AK888" s="4"/>
      <c r="AL888" s="3"/>
      <c r="AS888" s="4"/>
      <c r="AT888" s="4"/>
      <c r="AU888" s="3"/>
      <c r="BB888" s="4"/>
      <c r="BC888" s="3"/>
      <c r="BJ888" s="4"/>
      <c r="BK888" s="3"/>
      <c r="BR888" s="4"/>
      <c r="BS888" s="3"/>
      <c r="BZ888" s="4"/>
    </row>
    <row r="889" ht="14.25" customHeight="1">
      <c r="T889" s="3"/>
      <c r="AA889" s="4"/>
      <c r="AB889" s="4"/>
      <c r="AC889" s="3"/>
      <c r="AK889" s="4"/>
      <c r="AL889" s="3"/>
      <c r="AS889" s="4"/>
      <c r="AT889" s="4"/>
      <c r="AU889" s="3"/>
      <c r="BB889" s="4"/>
      <c r="BC889" s="3"/>
      <c r="BJ889" s="4"/>
      <c r="BK889" s="3"/>
      <c r="BR889" s="4"/>
      <c r="BS889" s="3"/>
      <c r="BZ889" s="4"/>
    </row>
    <row r="890" ht="14.25" customHeight="1">
      <c r="T890" s="3"/>
      <c r="AA890" s="4"/>
      <c r="AB890" s="4"/>
      <c r="AC890" s="3"/>
      <c r="AK890" s="4"/>
      <c r="AL890" s="3"/>
      <c r="AS890" s="4"/>
      <c r="AT890" s="4"/>
      <c r="AU890" s="3"/>
      <c r="BB890" s="4"/>
      <c r="BC890" s="3"/>
      <c r="BJ890" s="4"/>
      <c r="BK890" s="3"/>
      <c r="BR890" s="4"/>
      <c r="BS890" s="3"/>
      <c r="BZ890" s="4"/>
    </row>
    <row r="891" ht="14.25" customHeight="1">
      <c r="T891" s="3"/>
      <c r="AA891" s="4"/>
      <c r="AB891" s="4"/>
      <c r="AC891" s="3"/>
      <c r="AK891" s="4"/>
      <c r="AL891" s="3"/>
      <c r="AS891" s="4"/>
      <c r="AT891" s="4"/>
      <c r="AU891" s="3"/>
      <c r="BB891" s="4"/>
      <c r="BC891" s="3"/>
      <c r="BJ891" s="4"/>
      <c r="BK891" s="3"/>
      <c r="BR891" s="4"/>
      <c r="BS891" s="3"/>
      <c r="BZ891" s="4"/>
    </row>
    <row r="892" ht="14.25" customHeight="1">
      <c r="T892" s="3"/>
      <c r="AA892" s="4"/>
      <c r="AB892" s="4"/>
      <c r="AC892" s="3"/>
      <c r="AK892" s="4"/>
      <c r="AL892" s="3"/>
      <c r="AS892" s="4"/>
      <c r="AT892" s="4"/>
      <c r="AU892" s="3"/>
      <c r="BB892" s="4"/>
      <c r="BC892" s="3"/>
      <c r="BJ892" s="4"/>
      <c r="BK892" s="3"/>
      <c r="BR892" s="4"/>
      <c r="BS892" s="3"/>
      <c r="BZ892" s="4"/>
    </row>
    <row r="893" ht="14.25" customHeight="1">
      <c r="T893" s="3"/>
      <c r="AA893" s="4"/>
      <c r="AB893" s="4"/>
      <c r="AC893" s="3"/>
      <c r="AK893" s="4"/>
      <c r="AL893" s="3"/>
      <c r="AS893" s="4"/>
      <c r="AT893" s="4"/>
      <c r="AU893" s="3"/>
      <c r="BB893" s="4"/>
      <c r="BC893" s="3"/>
      <c r="BJ893" s="4"/>
      <c r="BK893" s="3"/>
      <c r="BR893" s="4"/>
      <c r="BS893" s="3"/>
      <c r="BZ893" s="4"/>
    </row>
    <row r="894" ht="14.25" customHeight="1">
      <c r="T894" s="3"/>
      <c r="AA894" s="4"/>
      <c r="AB894" s="4"/>
      <c r="AC894" s="3"/>
      <c r="AK894" s="4"/>
      <c r="AL894" s="3"/>
      <c r="AS894" s="4"/>
      <c r="AT894" s="4"/>
      <c r="AU894" s="3"/>
      <c r="BB894" s="4"/>
      <c r="BC894" s="3"/>
      <c r="BJ894" s="4"/>
      <c r="BK894" s="3"/>
      <c r="BR894" s="4"/>
      <c r="BS894" s="3"/>
      <c r="BZ894" s="4"/>
    </row>
    <row r="895" ht="14.25" customHeight="1">
      <c r="T895" s="3"/>
      <c r="AA895" s="4"/>
      <c r="AB895" s="4"/>
      <c r="AC895" s="3"/>
      <c r="AK895" s="4"/>
      <c r="AL895" s="3"/>
      <c r="AS895" s="4"/>
      <c r="AT895" s="4"/>
      <c r="AU895" s="3"/>
      <c r="BB895" s="4"/>
      <c r="BC895" s="3"/>
      <c r="BJ895" s="4"/>
      <c r="BK895" s="3"/>
      <c r="BR895" s="4"/>
      <c r="BS895" s="3"/>
      <c r="BZ895" s="4"/>
    </row>
    <row r="896" ht="14.25" customHeight="1">
      <c r="T896" s="3"/>
      <c r="AA896" s="4"/>
      <c r="AB896" s="4"/>
      <c r="AC896" s="3"/>
      <c r="AK896" s="4"/>
      <c r="AL896" s="3"/>
      <c r="AS896" s="4"/>
      <c r="AT896" s="4"/>
      <c r="AU896" s="3"/>
      <c r="BB896" s="4"/>
      <c r="BC896" s="3"/>
      <c r="BJ896" s="4"/>
      <c r="BK896" s="3"/>
      <c r="BR896" s="4"/>
      <c r="BS896" s="3"/>
      <c r="BZ896" s="4"/>
    </row>
    <row r="897" ht="14.25" customHeight="1">
      <c r="T897" s="3"/>
      <c r="AA897" s="4"/>
      <c r="AB897" s="4"/>
      <c r="AC897" s="3"/>
      <c r="AK897" s="4"/>
      <c r="AL897" s="3"/>
      <c r="AS897" s="4"/>
      <c r="AT897" s="4"/>
      <c r="AU897" s="3"/>
      <c r="BB897" s="4"/>
      <c r="BC897" s="3"/>
      <c r="BJ897" s="4"/>
      <c r="BK897" s="3"/>
      <c r="BR897" s="4"/>
      <c r="BS897" s="3"/>
      <c r="BZ897" s="4"/>
    </row>
    <row r="898" ht="14.25" customHeight="1">
      <c r="T898" s="3"/>
      <c r="AA898" s="4"/>
      <c r="AB898" s="4"/>
      <c r="AC898" s="3"/>
      <c r="AK898" s="4"/>
      <c r="AL898" s="3"/>
      <c r="AS898" s="4"/>
      <c r="AT898" s="4"/>
      <c r="AU898" s="3"/>
      <c r="BB898" s="4"/>
      <c r="BC898" s="3"/>
      <c r="BJ898" s="4"/>
      <c r="BK898" s="3"/>
      <c r="BR898" s="4"/>
      <c r="BS898" s="3"/>
      <c r="BZ898" s="4"/>
    </row>
    <row r="899" ht="14.25" customHeight="1">
      <c r="T899" s="3"/>
      <c r="AA899" s="4"/>
      <c r="AB899" s="4"/>
      <c r="AC899" s="3"/>
      <c r="AK899" s="4"/>
      <c r="AL899" s="3"/>
      <c r="AS899" s="4"/>
      <c r="AT899" s="4"/>
      <c r="AU899" s="3"/>
      <c r="BB899" s="4"/>
      <c r="BC899" s="3"/>
      <c r="BJ899" s="4"/>
      <c r="BK899" s="3"/>
      <c r="BR899" s="4"/>
      <c r="BS899" s="3"/>
      <c r="BZ899" s="4"/>
    </row>
    <row r="900" ht="14.25" customHeight="1">
      <c r="T900" s="3"/>
      <c r="AA900" s="4"/>
      <c r="AB900" s="4"/>
      <c r="AC900" s="3"/>
      <c r="AK900" s="4"/>
      <c r="AL900" s="3"/>
      <c r="AS900" s="4"/>
      <c r="AT900" s="4"/>
      <c r="AU900" s="3"/>
      <c r="BB900" s="4"/>
      <c r="BC900" s="3"/>
      <c r="BJ900" s="4"/>
      <c r="BK900" s="3"/>
      <c r="BR900" s="4"/>
      <c r="BS900" s="3"/>
      <c r="BZ900" s="4"/>
    </row>
    <row r="901" ht="14.25" customHeight="1">
      <c r="T901" s="3"/>
      <c r="AA901" s="4"/>
      <c r="AB901" s="4"/>
      <c r="AC901" s="3"/>
      <c r="AK901" s="4"/>
      <c r="AL901" s="3"/>
      <c r="AS901" s="4"/>
      <c r="AT901" s="4"/>
      <c r="AU901" s="3"/>
      <c r="BB901" s="4"/>
      <c r="BC901" s="3"/>
      <c r="BJ901" s="4"/>
      <c r="BK901" s="3"/>
      <c r="BR901" s="4"/>
      <c r="BS901" s="3"/>
      <c r="BZ901" s="4"/>
    </row>
    <row r="902" ht="14.25" customHeight="1">
      <c r="T902" s="3"/>
      <c r="AA902" s="4"/>
      <c r="AB902" s="4"/>
      <c r="AC902" s="3"/>
      <c r="AK902" s="4"/>
      <c r="AL902" s="3"/>
      <c r="AS902" s="4"/>
      <c r="AT902" s="4"/>
      <c r="AU902" s="3"/>
      <c r="BB902" s="4"/>
      <c r="BC902" s="3"/>
      <c r="BJ902" s="4"/>
      <c r="BK902" s="3"/>
      <c r="BR902" s="4"/>
      <c r="BS902" s="3"/>
      <c r="BZ902" s="4"/>
    </row>
    <row r="903" ht="14.25" customHeight="1">
      <c r="T903" s="3"/>
      <c r="AA903" s="4"/>
      <c r="AB903" s="4"/>
      <c r="AC903" s="3"/>
      <c r="AK903" s="4"/>
      <c r="AL903" s="3"/>
      <c r="AS903" s="4"/>
      <c r="AT903" s="4"/>
      <c r="AU903" s="3"/>
      <c r="BB903" s="4"/>
      <c r="BC903" s="3"/>
      <c r="BJ903" s="4"/>
      <c r="BK903" s="3"/>
      <c r="BR903" s="4"/>
      <c r="BS903" s="3"/>
      <c r="BZ903" s="4"/>
    </row>
    <row r="904" ht="14.25" customHeight="1">
      <c r="T904" s="3"/>
      <c r="AA904" s="4"/>
      <c r="AB904" s="4"/>
      <c r="AC904" s="3"/>
      <c r="AK904" s="4"/>
      <c r="AL904" s="3"/>
      <c r="AS904" s="4"/>
      <c r="AT904" s="4"/>
      <c r="AU904" s="3"/>
      <c r="BB904" s="4"/>
      <c r="BC904" s="3"/>
      <c r="BJ904" s="4"/>
      <c r="BK904" s="3"/>
      <c r="BR904" s="4"/>
      <c r="BS904" s="3"/>
      <c r="BZ904" s="4"/>
    </row>
    <row r="905" ht="14.25" customHeight="1">
      <c r="T905" s="3"/>
      <c r="AA905" s="4"/>
      <c r="AB905" s="4"/>
      <c r="AC905" s="3"/>
      <c r="AK905" s="4"/>
      <c r="AL905" s="3"/>
      <c r="AS905" s="4"/>
      <c r="AT905" s="4"/>
      <c r="AU905" s="3"/>
      <c r="BB905" s="4"/>
      <c r="BC905" s="3"/>
      <c r="BJ905" s="4"/>
      <c r="BK905" s="3"/>
      <c r="BR905" s="4"/>
      <c r="BS905" s="3"/>
      <c r="BZ905" s="4"/>
    </row>
    <row r="906" ht="14.25" customHeight="1">
      <c r="T906" s="3"/>
      <c r="AA906" s="4"/>
      <c r="AB906" s="4"/>
      <c r="AC906" s="3"/>
      <c r="AK906" s="4"/>
      <c r="AL906" s="3"/>
      <c r="AS906" s="4"/>
      <c r="AT906" s="4"/>
      <c r="AU906" s="3"/>
      <c r="BB906" s="4"/>
      <c r="BC906" s="3"/>
      <c r="BJ906" s="4"/>
      <c r="BK906" s="3"/>
      <c r="BR906" s="4"/>
      <c r="BS906" s="3"/>
      <c r="BZ906" s="4"/>
    </row>
    <row r="907" ht="14.25" customHeight="1">
      <c r="T907" s="3"/>
      <c r="AA907" s="4"/>
      <c r="AB907" s="4"/>
      <c r="AC907" s="3"/>
      <c r="AK907" s="4"/>
      <c r="AL907" s="3"/>
      <c r="AS907" s="4"/>
      <c r="AT907" s="4"/>
      <c r="AU907" s="3"/>
      <c r="BB907" s="4"/>
      <c r="BC907" s="3"/>
      <c r="BJ907" s="4"/>
      <c r="BK907" s="3"/>
      <c r="BR907" s="4"/>
      <c r="BS907" s="3"/>
      <c r="BZ907" s="4"/>
    </row>
    <row r="908" ht="14.25" customHeight="1">
      <c r="T908" s="3"/>
      <c r="AA908" s="4"/>
      <c r="AB908" s="4"/>
      <c r="AC908" s="3"/>
      <c r="AK908" s="4"/>
      <c r="AL908" s="3"/>
      <c r="AS908" s="4"/>
      <c r="AT908" s="4"/>
      <c r="AU908" s="3"/>
      <c r="BB908" s="4"/>
      <c r="BC908" s="3"/>
      <c r="BJ908" s="4"/>
      <c r="BK908" s="3"/>
      <c r="BR908" s="4"/>
      <c r="BS908" s="3"/>
      <c r="BZ908" s="4"/>
    </row>
    <row r="909" ht="14.25" customHeight="1">
      <c r="T909" s="3"/>
      <c r="AA909" s="4"/>
      <c r="AB909" s="4"/>
      <c r="AC909" s="3"/>
      <c r="AK909" s="4"/>
      <c r="AL909" s="3"/>
      <c r="AS909" s="4"/>
      <c r="AT909" s="4"/>
      <c r="AU909" s="3"/>
      <c r="BB909" s="4"/>
      <c r="BC909" s="3"/>
      <c r="BJ909" s="4"/>
      <c r="BK909" s="3"/>
      <c r="BR909" s="4"/>
      <c r="BS909" s="3"/>
      <c r="BZ909" s="4"/>
    </row>
    <row r="910" ht="14.25" customHeight="1">
      <c r="T910" s="3"/>
      <c r="AA910" s="4"/>
      <c r="AB910" s="4"/>
      <c r="AC910" s="3"/>
      <c r="AK910" s="4"/>
      <c r="AL910" s="3"/>
      <c r="AS910" s="4"/>
      <c r="AT910" s="4"/>
      <c r="AU910" s="3"/>
      <c r="BB910" s="4"/>
      <c r="BC910" s="3"/>
      <c r="BJ910" s="4"/>
      <c r="BK910" s="3"/>
      <c r="BR910" s="4"/>
      <c r="BS910" s="3"/>
      <c r="BZ910" s="4"/>
    </row>
    <row r="911" ht="14.25" customHeight="1">
      <c r="T911" s="3"/>
      <c r="AA911" s="4"/>
      <c r="AB911" s="4"/>
      <c r="AC911" s="3"/>
      <c r="AK911" s="4"/>
      <c r="AL911" s="3"/>
      <c r="AS911" s="4"/>
      <c r="AT911" s="4"/>
      <c r="AU911" s="3"/>
      <c r="BB911" s="4"/>
      <c r="BC911" s="3"/>
      <c r="BJ911" s="4"/>
      <c r="BK911" s="3"/>
      <c r="BR911" s="4"/>
      <c r="BS911" s="3"/>
      <c r="BZ911" s="4"/>
    </row>
    <row r="912" ht="14.25" customHeight="1">
      <c r="T912" s="3"/>
      <c r="AA912" s="4"/>
      <c r="AB912" s="4"/>
      <c r="AC912" s="3"/>
      <c r="AK912" s="4"/>
      <c r="AL912" s="3"/>
      <c r="AS912" s="4"/>
      <c r="AT912" s="4"/>
      <c r="AU912" s="3"/>
      <c r="BB912" s="4"/>
      <c r="BC912" s="3"/>
      <c r="BJ912" s="4"/>
      <c r="BK912" s="3"/>
      <c r="BR912" s="4"/>
      <c r="BS912" s="3"/>
      <c r="BZ912" s="4"/>
    </row>
    <row r="913" ht="14.25" customHeight="1">
      <c r="T913" s="3"/>
      <c r="AA913" s="4"/>
      <c r="AB913" s="4"/>
      <c r="AC913" s="3"/>
      <c r="AK913" s="4"/>
      <c r="AL913" s="3"/>
      <c r="AS913" s="4"/>
      <c r="AT913" s="4"/>
      <c r="AU913" s="3"/>
      <c r="BB913" s="4"/>
      <c r="BC913" s="3"/>
      <c r="BJ913" s="4"/>
      <c r="BK913" s="3"/>
      <c r="BR913" s="4"/>
      <c r="BS913" s="3"/>
      <c r="BZ913" s="4"/>
    </row>
    <row r="914" ht="14.25" customHeight="1">
      <c r="T914" s="3"/>
      <c r="AA914" s="4"/>
      <c r="AB914" s="4"/>
      <c r="AC914" s="3"/>
      <c r="AK914" s="4"/>
      <c r="AL914" s="3"/>
      <c r="AS914" s="4"/>
      <c r="AT914" s="4"/>
      <c r="AU914" s="3"/>
      <c r="BB914" s="4"/>
      <c r="BC914" s="3"/>
      <c r="BJ914" s="4"/>
      <c r="BK914" s="3"/>
      <c r="BR914" s="4"/>
      <c r="BS914" s="3"/>
      <c r="BZ914" s="4"/>
    </row>
    <row r="915" ht="14.25" customHeight="1">
      <c r="T915" s="3"/>
      <c r="AA915" s="4"/>
      <c r="AB915" s="4"/>
      <c r="AC915" s="3"/>
      <c r="AK915" s="4"/>
      <c r="AL915" s="3"/>
      <c r="AS915" s="4"/>
      <c r="AT915" s="4"/>
      <c r="AU915" s="3"/>
      <c r="BB915" s="4"/>
      <c r="BC915" s="3"/>
      <c r="BJ915" s="4"/>
      <c r="BK915" s="3"/>
      <c r="BR915" s="4"/>
      <c r="BS915" s="3"/>
      <c r="BZ915" s="4"/>
    </row>
    <row r="916" ht="14.25" customHeight="1">
      <c r="T916" s="3"/>
      <c r="AA916" s="4"/>
      <c r="AB916" s="4"/>
      <c r="AC916" s="3"/>
      <c r="AK916" s="4"/>
      <c r="AL916" s="3"/>
      <c r="AS916" s="4"/>
      <c r="AT916" s="4"/>
      <c r="AU916" s="3"/>
      <c r="BB916" s="4"/>
      <c r="BC916" s="3"/>
      <c r="BJ916" s="4"/>
      <c r="BK916" s="3"/>
      <c r="BR916" s="4"/>
      <c r="BS916" s="3"/>
      <c r="BZ916" s="4"/>
    </row>
    <row r="917" ht="14.25" customHeight="1">
      <c r="T917" s="3"/>
      <c r="AA917" s="4"/>
      <c r="AB917" s="4"/>
      <c r="AC917" s="3"/>
      <c r="AK917" s="4"/>
      <c r="AL917" s="3"/>
      <c r="AS917" s="4"/>
      <c r="AT917" s="4"/>
      <c r="AU917" s="3"/>
      <c r="BB917" s="4"/>
      <c r="BC917" s="3"/>
      <c r="BJ917" s="4"/>
      <c r="BK917" s="3"/>
      <c r="BR917" s="4"/>
      <c r="BS917" s="3"/>
      <c r="BZ917" s="4"/>
    </row>
    <row r="918" ht="14.25" customHeight="1">
      <c r="T918" s="3"/>
      <c r="AA918" s="4"/>
      <c r="AB918" s="4"/>
      <c r="AC918" s="3"/>
      <c r="AK918" s="4"/>
      <c r="AL918" s="3"/>
      <c r="AS918" s="4"/>
      <c r="AT918" s="4"/>
      <c r="AU918" s="3"/>
      <c r="BB918" s="4"/>
      <c r="BC918" s="3"/>
      <c r="BJ918" s="4"/>
      <c r="BK918" s="3"/>
      <c r="BR918" s="4"/>
      <c r="BS918" s="3"/>
      <c r="BZ918" s="4"/>
    </row>
    <row r="919" ht="14.25" customHeight="1">
      <c r="T919" s="3"/>
      <c r="AA919" s="4"/>
      <c r="AB919" s="4"/>
      <c r="AC919" s="3"/>
      <c r="AK919" s="4"/>
      <c r="AL919" s="3"/>
      <c r="AS919" s="4"/>
      <c r="AT919" s="4"/>
      <c r="AU919" s="3"/>
      <c r="BB919" s="4"/>
      <c r="BC919" s="3"/>
      <c r="BJ919" s="4"/>
      <c r="BK919" s="3"/>
      <c r="BR919" s="4"/>
      <c r="BS919" s="3"/>
      <c r="BZ919" s="4"/>
    </row>
    <row r="920" ht="14.25" customHeight="1">
      <c r="T920" s="3"/>
      <c r="AA920" s="4"/>
      <c r="AB920" s="4"/>
      <c r="AC920" s="3"/>
      <c r="AK920" s="4"/>
      <c r="AL920" s="3"/>
      <c r="AS920" s="4"/>
      <c r="AT920" s="4"/>
      <c r="AU920" s="3"/>
      <c r="BB920" s="4"/>
      <c r="BC920" s="3"/>
      <c r="BJ920" s="4"/>
      <c r="BK920" s="3"/>
      <c r="BR920" s="4"/>
      <c r="BS920" s="3"/>
      <c r="BZ920" s="4"/>
    </row>
    <row r="921" ht="14.25" customHeight="1">
      <c r="T921" s="3"/>
      <c r="AA921" s="4"/>
      <c r="AB921" s="4"/>
      <c r="AC921" s="3"/>
      <c r="AK921" s="4"/>
      <c r="AL921" s="3"/>
      <c r="AS921" s="4"/>
      <c r="AT921" s="4"/>
      <c r="AU921" s="3"/>
      <c r="BB921" s="4"/>
      <c r="BC921" s="3"/>
      <c r="BJ921" s="4"/>
      <c r="BK921" s="3"/>
      <c r="BR921" s="4"/>
      <c r="BS921" s="3"/>
      <c r="BZ921" s="4"/>
    </row>
    <row r="922" ht="14.25" customHeight="1">
      <c r="T922" s="3"/>
      <c r="AA922" s="4"/>
      <c r="AB922" s="4"/>
      <c r="AC922" s="3"/>
      <c r="AK922" s="4"/>
      <c r="AL922" s="3"/>
      <c r="AS922" s="4"/>
      <c r="AT922" s="4"/>
      <c r="AU922" s="3"/>
      <c r="BB922" s="4"/>
      <c r="BC922" s="3"/>
      <c r="BJ922" s="4"/>
      <c r="BK922" s="3"/>
      <c r="BR922" s="4"/>
      <c r="BS922" s="3"/>
      <c r="BZ922" s="4"/>
    </row>
    <row r="923" ht="14.25" customHeight="1">
      <c r="T923" s="3"/>
      <c r="AA923" s="4"/>
      <c r="AB923" s="4"/>
      <c r="AC923" s="3"/>
      <c r="AK923" s="4"/>
      <c r="AL923" s="3"/>
      <c r="AS923" s="4"/>
      <c r="AT923" s="4"/>
      <c r="AU923" s="3"/>
      <c r="BB923" s="4"/>
      <c r="BC923" s="3"/>
      <c r="BJ923" s="4"/>
      <c r="BK923" s="3"/>
      <c r="BR923" s="4"/>
      <c r="BS923" s="3"/>
      <c r="BZ923" s="4"/>
    </row>
    <row r="924" ht="14.25" customHeight="1">
      <c r="T924" s="3"/>
      <c r="AA924" s="4"/>
      <c r="AB924" s="4"/>
      <c r="AC924" s="3"/>
      <c r="AK924" s="4"/>
      <c r="AL924" s="3"/>
      <c r="AS924" s="4"/>
      <c r="AT924" s="4"/>
      <c r="AU924" s="3"/>
      <c r="BB924" s="4"/>
      <c r="BC924" s="3"/>
      <c r="BJ924" s="4"/>
      <c r="BK924" s="3"/>
      <c r="BR924" s="4"/>
      <c r="BS924" s="3"/>
      <c r="BZ924" s="4"/>
    </row>
    <row r="925" ht="14.25" customHeight="1">
      <c r="T925" s="3"/>
      <c r="AA925" s="4"/>
      <c r="AB925" s="4"/>
      <c r="AC925" s="3"/>
      <c r="AK925" s="4"/>
      <c r="AL925" s="3"/>
      <c r="AS925" s="4"/>
      <c r="AT925" s="4"/>
      <c r="AU925" s="3"/>
      <c r="BB925" s="4"/>
      <c r="BC925" s="3"/>
      <c r="BJ925" s="4"/>
      <c r="BK925" s="3"/>
      <c r="BR925" s="4"/>
      <c r="BS925" s="3"/>
      <c r="BZ925" s="4"/>
    </row>
    <row r="926" ht="14.25" customHeight="1">
      <c r="T926" s="3"/>
      <c r="AA926" s="4"/>
      <c r="AB926" s="4"/>
      <c r="AC926" s="3"/>
      <c r="AK926" s="4"/>
      <c r="AL926" s="3"/>
      <c r="AS926" s="4"/>
      <c r="AT926" s="4"/>
      <c r="AU926" s="3"/>
      <c r="BB926" s="4"/>
      <c r="BC926" s="3"/>
      <c r="BJ926" s="4"/>
      <c r="BK926" s="3"/>
      <c r="BR926" s="4"/>
      <c r="BS926" s="3"/>
      <c r="BZ926" s="4"/>
    </row>
    <row r="927" ht="14.25" customHeight="1">
      <c r="T927" s="3"/>
      <c r="AA927" s="4"/>
      <c r="AB927" s="4"/>
      <c r="AC927" s="3"/>
      <c r="AK927" s="4"/>
      <c r="AL927" s="3"/>
      <c r="AS927" s="4"/>
      <c r="AT927" s="4"/>
      <c r="AU927" s="3"/>
      <c r="BB927" s="4"/>
      <c r="BC927" s="3"/>
      <c r="BJ927" s="4"/>
      <c r="BK927" s="3"/>
      <c r="BR927" s="4"/>
      <c r="BS927" s="3"/>
      <c r="BZ927" s="4"/>
    </row>
    <row r="928" ht="14.25" customHeight="1">
      <c r="T928" s="3"/>
      <c r="AA928" s="4"/>
      <c r="AB928" s="4"/>
      <c r="AC928" s="3"/>
      <c r="AK928" s="4"/>
      <c r="AL928" s="3"/>
      <c r="AS928" s="4"/>
      <c r="AT928" s="4"/>
      <c r="AU928" s="3"/>
      <c r="BB928" s="4"/>
      <c r="BC928" s="3"/>
      <c r="BJ928" s="4"/>
      <c r="BK928" s="3"/>
      <c r="BR928" s="4"/>
      <c r="BS928" s="3"/>
      <c r="BZ928" s="4"/>
    </row>
    <row r="929" ht="14.25" customHeight="1">
      <c r="T929" s="3"/>
      <c r="AA929" s="4"/>
      <c r="AB929" s="4"/>
      <c r="AC929" s="3"/>
      <c r="AK929" s="4"/>
      <c r="AL929" s="3"/>
      <c r="AS929" s="4"/>
      <c r="AT929" s="4"/>
      <c r="AU929" s="3"/>
      <c r="BB929" s="4"/>
      <c r="BC929" s="3"/>
      <c r="BJ929" s="4"/>
      <c r="BK929" s="3"/>
      <c r="BR929" s="4"/>
      <c r="BS929" s="3"/>
      <c r="BZ929" s="4"/>
    </row>
    <row r="930" ht="14.25" customHeight="1">
      <c r="T930" s="3"/>
      <c r="AA930" s="4"/>
      <c r="AB930" s="4"/>
      <c r="AC930" s="3"/>
      <c r="AK930" s="4"/>
      <c r="AL930" s="3"/>
      <c r="AS930" s="4"/>
      <c r="AT930" s="4"/>
      <c r="AU930" s="3"/>
      <c r="BB930" s="4"/>
      <c r="BC930" s="3"/>
      <c r="BJ930" s="4"/>
      <c r="BK930" s="3"/>
      <c r="BR930" s="4"/>
      <c r="BS930" s="3"/>
      <c r="BZ930" s="4"/>
    </row>
    <row r="931" ht="14.25" customHeight="1">
      <c r="T931" s="3"/>
      <c r="AA931" s="4"/>
      <c r="AB931" s="4"/>
      <c r="AC931" s="3"/>
      <c r="AK931" s="4"/>
      <c r="AL931" s="3"/>
      <c r="AS931" s="4"/>
      <c r="AT931" s="4"/>
      <c r="AU931" s="3"/>
      <c r="BB931" s="4"/>
      <c r="BC931" s="3"/>
      <c r="BJ931" s="4"/>
      <c r="BK931" s="3"/>
      <c r="BR931" s="4"/>
      <c r="BS931" s="3"/>
      <c r="BZ931" s="4"/>
    </row>
    <row r="932" ht="14.25" customHeight="1">
      <c r="T932" s="3"/>
      <c r="AA932" s="4"/>
      <c r="AB932" s="4"/>
      <c r="AC932" s="3"/>
      <c r="AK932" s="4"/>
      <c r="AL932" s="3"/>
      <c r="AS932" s="4"/>
      <c r="AT932" s="4"/>
      <c r="AU932" s="3"/>
      <c r="BB932" s="4"/>
      <c r="BC932" s="3"/>
      <c r="BJ932" s="4"/>
      <c r="BK932" s="3"/>
      <c r="BR932" s="4"/>
      <c r="BS932" s="3"/>
      <c r="BZ932" s="4"/>
    </row>
    <row r="933" ht="14.25" customHeight="1">
      <c r="T933" s="3"/>
      <c r="AA933" s="4"/>
      <c r="AB933" s="4"/>
      <c r="AC933" s="3"/>
      <c r="AK933" s="4"/>
      <c r="AL933" s="3"/>
      <c r="AS933" s="4"/>
      <c r="AT933" s="4"/>
      <c r="AU933" s="3"/>
      <c r="BB933" s="4"/>
      <c r="BC933" s="3"/>
      <c r="BJ933" s="4"/>
      <c r="BK933" s="3"/>
      <c r="BR933" s="4"/>
      <c r="BS933" s="3"/>
      <c r="BZ933" s="4"/>
    </row>
    <row r="934" ht="14.25" customHeight="1">
      <c r="T934" s="3"/>
      <c r="AA934" s="4"/>
      <c r="AB934" s="4"/>
      <c r="AC934" s="3"/>
      <c r="AK934" s="4"/>
      <c r="AL934" s="3"/>
      <c r="AS934" s="4"/>
      <c r="AT934" s="4"/>
      <c r="AU934" s="3"/>
      <c r="BB934" s="4"/>
      <c r="BC934" s="3"/>
      <c r="BJ934" s="4"/>
      <c r="BK934" s="3"/>
      <c r="BR934" s="4"/>
      <c r="BS934" s="3"/>
      <c r="BZ934" s="4"/>
    </row>
    <row r="935" ht="14.25" customHeight="1">
      <c r="T935" s="3"/>
      <c r="AA935" s="4"/>
      <c r="AB935" s="4"/>
      <c r="AC935" s="3"/>
      <c r="AK935" s="4"/>
      <c r="AL935" s="3"/>
      <c r="AS935" s="4"/>
      <c r="AT935" s="4"/>
      <c r="AU935" s="3"/>
      <c r="BB935" s="4"/>
      <c r="BC935" s="3"/>
      <c r="BJ935" s="4"/>
      <c r="BK935" s="3"/>
      <c r="BR935" s="4"/>
      <c r="BS935" s="3"/>
      <c r="BZ935" s="4"/>
    </row>
    <row r="936" ht="14.25" customHeight="1">
      <c r="T936" s="3"/>
      <c r="AA936" s="4"/>
      <c r="AB936" s="4"/>
      <c r="AC936" s="3"/>
      <c r="AK936" s="4"/>
      <c r="AL936" s="3"/>
      <c r="AS936" s="4"/>
      <c r="AT936" s="4"/>
      <c r="AU936" s="3"/>
      <c r="BB936" s="4"/>
      <c r="BC936" s="3"/>
      <c r="BJ936" s="4"/>
      <c r="BK936" s="3"/>
      <c r="BR936" s="4"/>
      <c r="BS936" s="3"/>
      <c r="BZ936" s="4"/>
    </row>
    <row r="937" ht="14.25" customHeight="1">
      <c r="T937" s="3"/>
      <c r="AA937" s="4"/>
      <c r="AB937" s="4"/>
      <c r="AC937" s="3"/>
      <c r="AK937" s="4"/>
      <c r="AL937" s="3"/>
      <c r="AS937" s="4"/>
      <c r="AT937" s="4"/>
      <c r="AU937" s="3"/>
      <c r="BB937" s="4"/>
      <c r="BC937" s="3"/>
      <c r="BJ937" s="4"/>
      <c r="BK937" s="3"/>
      <c r="BR937" s="4"/>
      <c r="BS937" s="3"/>
      <c r="BZ937" s="4"/>
    </row>
    <row r="938" ht="14.25" customHeight="1">
      <c r="T938" s="3"/>
      <c r="AA938" s="4"/>
      <c r="AB938" s="4"/>
      <c r="AC938" s="3"/>
      <c r="AK938" s="4"/>
      <c r="AL938" s="3"/>
      <c r="AS938" s="4"/>
      <c r="AT938" s="4"/>
      <c r="AU938" s="3"/>
      <c r="BB938" s="4"/>
      <c r="BC938" s="3"/>
      <c r="BJ938" s="4"/>
      <c r="BK938" s="3"/>
      <c r="BR938" s="4"/>
      <c r="BS938" s="3"/>
      <c r="BZ938" s="4"/>
    </row>
    <row r="939" ht="14.25" customHeight="1">
      <c r="T939" s="3"/>
      <c r="AA939" s="4"/>
      <c r="AB939" s="4"/>
      <c r="AC939" s="3"/>
      <c r="AK939" s="4"/>
      <c r="AL939" s="3"/>
      <c r="AS939" s="4"/>
      <c r="AT939" s="4"/>
      <c r="AU939" s="3"/>
      <c r="BB939" s="4"/>
      <c r="BC939" s="3"/>
      <c r="BJ939" s="4"/>
      <c r="BK939" s="3"/>
      <c r="BR939" s="4"/>
      <c r="BS939" s="3"/>
      <c r="BZ939" s="4"/>
    </row>
    <row r="940" ht="14.25" customHeight="1">
      <c r="T940" s="3"/>
      <c r="AA940" s="4"/>
      <c r="AB940" s="4"/>
      <c r="AC940" s="3"/>
      <c r="AK940" s="4"/>
      <c r="AL940" s="3"/>
      <c r="AS940" s="4"/>
      <c r="AT940" s="4"/>
      <c r="AU940" s="3"/>
      <c r="BB940" s="4"/>
      <c r="BC940" s="3"/>
      <c r="BJ940" s="4"/>
      <c r="BK940" s="3"/>
      <c r="BR940" s="4"/>
      <c r="BS940" s="3"/>
      <c r="BZ940" s="4"/>
    </row>
    <row r="941" ht="14.25" customHeight="1">
      <c r="T941" s="3"/>
      <c r="AA941" s="4"/>
      <c r="AB941" s="4"/>
      <c r="AC941" s="3"/>
      <c r="AK941" s="4"/>
      <c r="AL941" s="3"/>
      <c r="AS941" s="4"/>
      <c r="AT941" s="4"/>
      <c r="AU941" s="3"/>
      <c r="BB941" s="4"/>
      <c r="BC941" s="3"/>
      <c r="BJ941" s="4"/>
      <c r="BK941" s="3"/>
      <c r="BR941" s="4"/>
      <c r="BS941" s="3"/>
      <c r="BZ941" s="4"/>
    </row>
    <row r="942" ht="14.25" customHeight="1">
      <c r="T942" s="3"/>
      <c r="AA942" s="4"/>
      <c r="AB942" s="4"/>
      <c r="AC942" s="3"/>
      <c r="AK942" s="4"/>
      <c r="AL942" s="3"/>
      <c r="AS942" s="4"/>
      <c r="AT942" s="4"/>
      <c r="AU942" s="3"/>
      <c r="BB942" s="4"/>
      <c r="BC942" s="3"/>
      <c r="BJ942" s="4"/>
      <c r="BK942" s="3"/>
      <c r="BR942" s="4"/>
      <c r="BS942" s="3"/>
      <c r="BZ942" s="4"/>
    </row>
    <row r="943" ht="14.25" customHeight="1">
      <c r="T943" s="3"/>
      <c r="AA943" s="4"/>
      <c r="AB943" s="4"/>
      <c r="AC943" s="3"/>
      <c r="AK943" s="4"/>
      <c r="AL943" s="3"/>
      <c r="AS943" s="4"/>
      <c r="AT943" s="4"/>
      <c r="AU943" s="3"/>
      <c r="BB943" s="4"/>
      <c r="BC943" s="3"/>
      <c r="BJ943" s="4"/>
      <c r="BK943" s="3"/>
      <c r="BR943" s="4"/>
      <c r="BS943" s="3"/>
      <c r="BZ943" s="4"/>
    </row>
    <row r="944" ht="14.25" customHeight="1">
      <c r="T944" s="3"/>
      <c r="AA944" s="4"/>
      <c r="AB944" s="4"/>
      <c r="AC944" s="3"/>
      <c r="AK944" s="4"/>
      <c r="AL944" s="3"/>
      <c r="AS944" s="4"/>
      <c r="AT944" s="4"/>
      <c r="AU944" s="3"/>
      <c r="BB944" s="4"/>
      <c r="BC944" s="3"/>
      <c r="BJ944" s="4"/>
      <c r="BK944" s="3"/>
      <c r="BR944" s="4"/>
      <c r="BS944" s="3"/>
      <c r="BZ944" s="4"/>
    </row>
    <row r="945" ht="14.25" customHeight="1">
      <c r="T945" s="3"/>
      <c r="AA945" s="4"/>
      <c r="AB945" s="4"/>
      <c r="AC945" s="3"/>
      <c r="AK945" s="4"/>
      <c r="AL945" s="3"/>
      <c r="AS945" s="4"/>
      <c r="AT945" s="4"/>
      <c r="AU945" s="3"/>
      <c r="BB945" s="4"/>
      <c r="BC945" s="3"/>
      <c r="BJ945" s="4"/>
      <c r="BK945" s="3"/>
      <c r="BR945" s="4"/>
      <c r="BS945" s="3"/>
      <c r="BZ945" s="4"/>
    </row>
    <row r="946" ht="14.25" customHeight="1">
      <c r="T946" s="3"/>
      <c r="AA946" s="4"/>
      <c r="AB946" s="4"/>
      <c r="AC946" s="3"/>
      <c r="AK946" s="4"/>
      <c r="AL946" s="3"/>
      <c r="AS946" s="4"/>
      <c r="AT946" s="4"/>
      <c r="AU946" s="3"/>
      <c r="BB946" s="4"/>
      <c r="BC946" s="3"/>
      <c r="BJ946" s="4"/>
      <c r="BK946" s="3"/>
      <c r="BR946" s="4"/>
      <c r="BS946" s="3"/>
      <c r="BZ946" s="4"/>
    </row>
    <row r="947" ht="14.25" customHeight="1">
      <c r="T947" s="3"/>
      <c r="AA947" s="4"/>
      <c r="AB947" s="4"/>
      <c r="AC947" s="3"/>
      <c r="AK947" s="4"/>
      <c r="AL947" s="3"/>
      <c r="AS947" s="4"/>
      <c r="AT947" s="4"/>
      <c r="AU947" s="3"/>
      <c r="BB947" s="4"/>
      <c r="BC947" s="3"/>
      <c r="BJ947" s="4"/>
      <c r="BK947" s="3"/>
      <c r="BR947" s="4"/>
      <c r="BS947" s="3"/>
      <c r="BZ947" s="4"/>
    </row>
    <row r="948" ht="14.25" customHeight="1">
      <c r="T948" s="3"/>
      <c r="AA948" s="4"/>
      <c r="AB948" s="4"/>
      <c r="AC948" s="3"/>
      <c r="AK948" s="4"/>
      <c r="AL948" s="3"/>
      <c r="AS948" s="4"/>
      <c r="AT948" s="4"/>
      <c r="AU948" s="3"/>
      <c r="BB948" s="4"/>
      <c r="BC948" s="3"/>
      <c r="BJ948" s="4"/>
      <c r="BK948" s="3"/>
      <c r="BR948" s="4"/>
      <c r="BS948" s="3"/>
      <c r="BZ948" s="4"/>
    </row>
    <row r="949" ht="14.25" customHeight="1">
      <c r="T949" s="3"/>
      <c r="AA949" s="4"/>
      <c r="AB949" s="4"/>
      <c r="AC949" s="3"/>
      <c r="AK949" s="4"/>
      <c r="AL949" s="3"/>
      <c r="AS949" s="4"/>
      <c r="AT949" s="4"/>
      <c r="AU949" s="3"/>
      <c r="BB949" s="4"/>
      <c r="BC949" s="3"/>
      <c r="BJ949" s="4"/>
      <c r="BK949" s="3"/>
      <c r="BR949" s="4"/>
      <c r="BS949" s="3"/>
      <c r="BZ949" s="4"/>
    </row>
    <row r="950" ht="14.25" customHeight="1">
      <c r="T950" s="3"/>
      <c r="AA950" s="4"/>
      <c r="AB950" s="4"/>
      <c r="AC950" s="3"/>
      <c r="AK950" s="4"/>
      <c r="AL950" s="3"/>
      <c r="AS950" s="4"/>
      <c r="AT950" s="4"/>
      <c r="AU950" s="3"/>
      <c r="BB950" s="4"/>
      <c r="BC950" s="3"/>
      <c r="BJ950" s="4"/>
      <c r="BK950" s="3"/>
      <c r="BR950" s="4"/>
      <c r="BS950" s="3"/>
      <c r="BZ950" s="4"/>
    </row>
    <row r="951" ht="14.25" customHeight="1">
      <c r="T951" s="3"/>
      <c r="AA951" s="4"/>
      <c r="AB951" s="4"/>
      <c r="AC951" s="3"/>
      <c r="AK951" s="4"/>
      <c r="AL951" s="3"/>
      <c r="AS951" s="4"/>
      <c r="AT951" s="4"/>
      <c r="AU951" s="3"/>
      <c r="BB951" s="4"/>
      <c r="BC951" s="3"/>
      <c r="BJ951" s="4"/>
      <c r="BK951" s="3"/>
      <c r="BR951" s="4"/>
      <c r="BS951" s="3"/>
      <c r="BZ951" s="4"/>
    </row>
    <row r="952" ht="14.25" customHeight="1">
      <c r="T952" s="3"/>
      <c r="AA952" s="4"/>
      <c r="AB952" s="4"/>
      <c r="AC952" s="3"/>
      <c r="AK952" s="4"/>
      <c r="AL952" s="3"/>
      <c r="AS952" s="4"/>
      <c r="AT952" s="4"/>
      <c r="AU952" s="3"/>
      <c r="BB952" s="4"/>
      <c r="BC952" s="3"/>
      <c r="BJ952" s="4"/>
      <c r="BK952" s="3"/>
      <c r="BR952" s="4"/>
      <c r="BS952" s="3"/>
      <c r="BZ952" s="4"/>
    </row>
    <row r="953" ht="14.25" customHeight="1">
      <c r="T953" s="3"/>
      <c r="AA953" s="4"/>
      <c r="AB953" s="4"/>
      <c r="AC953" s="3"/>
      <c r="AK953" s="4"/>
      <c r="AL953" s="3"/>
      <c r="AS953" s="4"/>
      <c r="AT953" s="4"/>
      <c r="AU953" s="3"/>
      <c r="BB953" s="4"/>
      <c r="BC953" s="3"/>
      <c r="BJ953" s="4"/>
      <c r="BK953" s="3"/>
      <c r="BR953" s="4"/>
      <c r="BS953" s="3"/>
      <c r="BZ953" s="4"/>
    </row>
    <row r="954" ht="14.25" customHeight="1">
      <c r="T954" s="3"/>
      <c r="AA954" s="4"/>
      <c r="AB954" s="4"/>
      <c r="AC954" s="3"/>
      <c r="AK954" s="4"/>
      <c r="AL954" s="3"/>
      <c r="AS954" s="4"/>
      <c r="AT954" s="4"/>
      <c r="AU954" s="3"/>
      <c r="BB954" s="4"/>
      <c r="BC954" s="3"/>
      <c r="BJ954" s="4"/>
      <c r="BK954" s="3"/>
      <c r="BR954" s="4"/>
      <c r="BS954" s="3"/>
      <c r="BZ954" s="4"/>
    </row>
    <row r="955" ht="14.25" customHeight="1">
      <c r="T955" s="3"/>
      <c r="AA955" s="4"/>
      <c r="AB955" s="4"/>
      <c r="AC955" s="3"/>
      <c r="AK955" s="4"/>
      <c r="AL955" s="3"/>
      <c r="AS955" s="4"/>
      <c r="AT955" s="4"/>
      <c r="AU955" s="3"/>
      <c r="BB955" s="4"/>
      <c r="BC955" s="3"/>
      <c r="BJ955" s="4"/>
      <c r="BK955" s="3"/>
      <c r="BR955" s="4"/>
      <c r="BS955" s="3"/>
      <c r="BZ955" s="4"/>
    </row>
    <row r="956" ht="14.25" customHeight="1">
      <c r="T956" s="3"/>
      <c r="AA956" s="4"/>
      <c r="AB956" s="4"/>
      <c r="AC956" s="3"/>
      <c r="AK956" s="4"/>
      <c r="AL956" s="3"/>
      <c r="AS956" s="4"/>
      <c r="AT956" s="4"/>
      <c r="AU956" s="3"/>
      <c r="BB956" s="4"/>
      <c r="BC956" s="3"/>
      <c r="BJ956" s="4"/>
      <c r="BK956" s="3"/>
      <c r="BR956" s="4"/>
      <c r="BS956" s="3"/>
      <c r="BZ956" s="4"/>
    </row>
    <row r="957" ht="14.25" customHeight="1">
      <c r="T957" s="3"/>
      <c r="AA957" s="4"/>
      <c r="AB957" s="4"/>
      <c r="AC957" s="3"/>
      <c r="AK957" s="4"/>
      <c r="AL957" s="3"/>
      <c r="AS957" s="4"/>
      <c r="AT957" s="4"/>
      <c r="AU957" s="3"/>
      <c r="BB957" s="4"/>
      <c r="BC957" s="3"/>
      <c r="BJ957" s="4"/>
      <c r="BK957" s="3"/>
      <c r="BR957" s="4"/>
      <c r="BS957" s="3"/>
      <c r="BZ957" s="4"/>
    </row>
    <row r="958" ht="14.25" customHeight="1">
      <c r="T958" s="3"/>
      <c r="AA958" s="4"/>
      <c r="AB958" s="4"/>
      <c r="AC958" s="3"/>
      <c r="AK958" s="4"/>
      <c r="AL958" s="3"/>
      <c r="AS958" s="4"/>
      <c r="AT958" s="4"/>
      <c r="AU958" s="3"/>
      <c r="BB958" s="4"/>
      <c r="BC958" s="3"/>
      <c r="BJ958" s="4"/>
      <c r="BK958" s="3"/>
      <c r="BR958" s="4"/>
      <c r="BS958" s="3"/>
      <c r="BZ958" s="4"/>
    </row>
    <row r="959" ht="14.25" customHeight="1">
      <c r="T959" s="3"/>
      <c r="AA959" s="4"/>
      <c r="AB959" s="4"/>
      <c r="AC959" s="3"/>
      <c r="AK959" s="4"/>
      <c r="AL959" s="3"/>
      <c r="AS959" s="4"/>
      <c r="AT959" s="4"/>
      <c r="AU959" s="3"/>
      <c r="BB959" s="4"/>
      <c r="BC959" s="3"/>
      <c r="BJ959" s="4"/>
      <c r="BK959" s="3"/>
      <c r="BR959" s="4"/>
      <c r="BS959" s="3"/>
      <c r="BZ959" s="4"/>
    </row>
    <row r="960" ht="14.25" customHeight="1">
      <c r="T960" s="3"/>
      <c r="AA960" s="4"/>
      <c r="AB960" s="4"/>
      <c r="AC960" s="3"/>
      <c r="AK960" s="4"/>
      <c r="AL960" s="3"/>
      <c r="AS960" s="4"/>
      <c r="AT960" s="4"/>
      <c r="AU960" s="3"/>
      <c r="BB960" s="4"/>
      <c r="BC960" s="3"/>
      <c r="BJ960" s="4"/>
      <c r="BK960" s="3"/>
      <c r="BR960" s="4"/>
      <c r="BS960" s="3"/>
      <c r="BZ960" s="4"/>
    </row>
    <row r="961" ht="14.25" customHeight="1">
      <c r="T961" s="3"/>
      <c r="AA961" s="4"/>
      <c r="AB961" s="4"/>
      <c r="AC961" s="3"/>
      <c r="AK961" s="4"/>
      <c r="AL961" s="3"/>
      <c r="AS961" s="4"/>
      <c r="AT961" s="4"/>
      <c r="AU961" s="3"/>
      <c r="BB961" s="4"/>
      <c r="BC961" s="3"/>
      <c r="BJ961" s="4"/>
      <c r="BK961" s="3"/>
      <c r="BR961" s="4"/>
      <c r="BS961" s="3"/>
      <c r="BZ961" s="4"/>
    </row>
    <row r="962" ht="14.25" customHeight="1">
      <c r="T962" s="3"/>
      <c r="AA962" s="4"/>
      <c r="AB962" s="4"/>
      <c r="AC962" s="3"/>
      <c r="AK962" s="4"/>
      <c r="AL962" s="3"/>
      <c r="AS962" s="4"/>
      <c r="AT962" s="4"/>
      <c r="AU962" s="3"/>
      <c r="BB962" s="4"/>
      <c r="BC962" s="3"/>
      <c r="BJ962" s="4"/>
      <c r="BK962" s="3"/>
      <c r="BR962" s="4"/>
      <c r="BS962" s="3"/>
      <c r="BZ962" s="4"/>
    </row>
    <row r="963" ht="14.25" customHeight="1">
      <c r="T963" s="3"/>
      <c r="AA963" s="4"/>
      <c r="AB963" s="4"/>
      <c r="AC963" s="3"/>
      <c r="AK963" s="4"/>
      <c r="AL963" s="3"/>
      <c r="AS963" s="4"/>
      <c r="AT963" s="4"/>
      <c r="AU963" s="3"/>
      <c r="BB963" s="4"/>
      <c r="BC963" s="3"/>
      <c r="BJ963" s="4"/>
      <c r="BK963" s="3"/>
      <c r="BR963" s="4"/>
      <c r="BS963" s="3"/>
      <c r="BZ963" s="4"/>
    </row>
    <row r="964" ht="14.25" customHeight="1">
      <c r="T964" s="3"/>
      <c r="AA964" s="4"/>
      <c r="AB964" s="4"/>
      <c r="AC964" s="3"/>
      <c r="AK964" s="4"/>
      <c r="AL964" s="3"/>
      <c r="AS964" s="4"/>
      <c r="AT964" s="4"/>
      <c r="AU964" s="3"/>
      <c r="BB964" s="4"/>
      <c r="BC964" s="3"/>
      <c r="BJ964" s="4"/>
      <c r="BK964" s="3"/>
      <c r="BR964" s="4"/>
      <c r="BS964" s="3"/>
      <c r="BZ964" s="4"/>
    </row>
    <row r="965" ht="14.25" customHeight="1">
      <c r="T965" s="3"/>
      <c r="AA965" s="4"/>
      <c r="AB965" s="4"/>
      <c r="AC965" s="3"/>
      <c r="AK965" s="4"/>
      <c r="AL965" s="3"/>
      <c r="AS965" s="4"/>
      <c r="AT965" s="4"/>
      <c r="AU965" s="3"/>
      <c r="BB965" s="4"/>
      <c r="BC965" s="3"/>
      <c r="BJ965" s="4"/>
      <c r="BK965" s="3"/>
      <c r="BR965" s="4"/>
      <c r="BS965" s="3"/>
      <c r="BZ965" s="4"/>
    </row>
    <row r="966" ht="14.25" customHeight="1">
      <c r="T966" s="3"/>
      <c r="AA966" s="4"/>
      <c r="AB966" s="4"/>
      <c r="AC966" s="3"/>
      <c r="AK966" s="4"/>
      <c r="AL966" s="3"/>
      <c r="AS966" s="4"/>
      <c r="AT966" s="4"/>
      <c r="AU966" s="3"/>
      <c r="BB966" s="4"/>
      <c r="BC966" s="3"/>
      <c r="BJ966" s="4"/>
      <c r="BK966" s="3"/>
      <c r="BR966" s="4"/>
      <c r="BS966" s="3"/>
      <c r="BZ966" s="4"/>
    </row>
    <row r="967" ht="14.25" customHeight="1">
      <c r="T967" s="3"/>
      <c r="AA967" s="4"/>
      <c r="AB967" s="4"/>
      <c r="AC967" s="3"/>
      <c r="AK967" s="4"/>
      <c r="AL967" s="3"/>
      <c r="AS967" s="4"/>
      <c r="AT967" s="4"/>
      <c r="AU967" s="3"/>
      <c r="BB967" s="4"/>
      <c r="BC967" s="3"/>
      <c r="BJ967" s="4"/>
      <c r="BK967" s="3"/>
      <c r="BR967" s="4"/>
      <c r="BS967" s="3"/>
      <c r="BZ967" s="4"/>
    </row>
    <row r="968" ht="14.25" customHeight="1">
      <c r="T968" s="3"/>
      <c r="AA968" s="4"/>
      <c r="AB968" s="4"/>
      <c r="AC968" s="3"/>
      <c r="AK968" s="4"/>
      <c r="AL968" s="3"/>
      <c r="AS968" s="4"/>
      <c r="AT968" s="4"/>
      <c r="AU968" s="3"/>
      <c r="BB968" s="4"/>
      <c r="BC968" s="3"/>
      <c r="BJ968" s="4"/>
      <c r="BK968" s="3"/>
      <c r="BR968" s="4"/>
      <c r="BS968" s="3"/>
      <c r="BZ968" s="4"/>
    </row>
    <row r="969" ht="14.25" customHeight="1">
      <c r="T969" s="3"/>
      <c r="AA969" s="4"/>
      <c r="AB969" s="4"/>
      <c r="AC969" s="3"/>
      <c r="AK969" s="4"/>
      <c r="AL969" s="3"/>
      <c r="AS969" s="4"/>
      <c r="AT969" s="4"/>
      <c r="AU969" s="3"/>
      <c r="BB969" s="4"/>
      <c r="BC969" s="3"/>
      <c r="BJ969" s="4"/>
      <c r="BK969" s="3"/>
      <c r="BR969" s="4"/>
      <c r="BS969" s="3"/>
      <c r="BZ969" s="4"/>
    </row>
    <row r="970" ht="14.25" customHeight="1">
      <c r="T970" s="3"/>
      <c r="AA970" s="4"/>
      <c r="AB970" s="4"/>
      <c r="AC970" s="3"/>
      <c r="AK970" s="4"/>
      <c r="AL970" s="3"/>
      <c r="AS970" s="4"/>
      <c r="AT970" s="4"/>
      <c r="AU970" s="3"/>
      <c r="BB970" s="4"/>
      <c r="BC970" s="3"/>
      <c r="BJ970" s="4"/>
      <c r="BK970" s="3"/>
      <c r="BR970" s="4"/>
      <c r="BS970" s="3"/>
      <c r="BZ970" s="4"/>
    </row>
    <row r="971" ht="14.25" customHeight="1">
      <c r="T971" s="3"/>
      <c r="AA971" s="4"/>
      <c r="AB971" s="4"/>
      <c r="AC971" s="3"/>
      <c r="AK971" s="4"/>
      <c r="AL971" s="3"/>
      <c r="AS971" s="4"/>
      <c r="AT971" s="4"/>
      <c r="AU971" s="3"/>
      <c r="BB971" s="4"/>
      <c r="BC971" s="3"/>
      <c r="BJ971" s="4"/>
      <c r="BK971" s="3"/>
      <c r="BR971" s="4"/>
      <c r="BS971" s="3"/>
      <c r="BZ971" s="4"/>
    </row>
    <row r="972" ht="14.25" customHeight="1">
      <c r="T972" s="3"/>
      <c r="AA972" s="4"/>
      <c r="AB972" s="4"/>
      <c r="AC972" s="3"/>
      <c r="AK972" s="4"/>
      <c r="AL972" s="3"/>
      <c r="AS972" s="4"/>
      <c r="AT972" s="4"/>
      <c r="AU972" s="3"/>
      <c r="BB972" s="4"/>
      <c r="BC972" s="3"/>
      <c r="BJ972" s="4"/>
      <c r="BK972" s="3"/>
      <c r="BR972" s="4"/>
      <c r="BS972" s="3"/>
      <c r="BZ972" s="4"/>
    </row>
    <row r="973" ht="14.25" customHeight="1">
      <c r="T973" s="3"/>
      <c r="AA973" s="4"/>
      <c r="AB973" s="4"/>
      <c r="AC973" s="3"/>
      <c r="AK973" s="4"/>
      <c r="AL973" s="3"/>
      <c r="AS973" s="4"/>
      <c r="AT973" s="4"/>
      <c r="AU973" s="3"/>
      <c r="BB973" s="4"/>
      <c r="BC973" s="3"/>
      <c r="BJ973" s="4"/>
      <c r="BK973" s="3"/>
      <c r="BR973" s="4"/>
      <c r="BS973" s="3"/>
      <c r="BZ973" s="4"/>
    </row>
    <row r="974" ht="14.25" customHeight="1">
      <c r="T974" s="3"/>
      <c r="AA974" s="4"/>
      <c r="AB974" s="4"/>
      <c r="AC974" s="3"/>
      <c r="AK974" s="4"/>
      <c r="AL974" s="3"/>
      <c r="AS974" s="4"/>
      <c r="AT974" s="4"/>
      <c r="AU974" s="3"/>
      <c r="BB974" s="4"/>
      <c r="BC974" s="3"/>
      <c r="BJ974" s="4"/>
      <c r="BK974" s="3"/>
      <c r="BR974" s="4"/>
      <c r="BS974" s="3"/>
      <c r="BZ974" s="4"/>
    </row>
    <row r="975" ht="14.25" customHeight="1">
      <c r="T975" s="3"/>
      <c r="AA975" s="4"/>
      <c r="AB975" s="4"/>
      <c r="AC975" s="3"/>
      <c r="AK975" s="4"/>
      <c r="AL975" s="3"/>
      <c r="AS975" s="4"/>
      <c r="AT975" s="4"/>
      <c r="AU975" s="3"/>
      <c r="BB975" s="4"/>
      <c r="BC975" s="3"/>
      <c r="BJ975" s="4"/>
      <c r="BK975" s="3"/>
      <c r="BR975" s="4"/>
      <c r="BS975" s="3"/>
      <c r="BZ975" s="4"/>
    </row>
    <row r="976" ht="14.25" customHeight="1">
      <c r="T976" s="3"/>
      <c r="AA976" s="4"/>
      <c r="AB976" s="4"/>
      <c r="AC976" s="3"/>
      <c r="AK976" s="4"/>
      <c r="AL976" s="3"/>
      <c r="AS976" s="4"/>
      <c r="AT976" s="4"/>
      <c r="AU976" s="3"/>
      <c r="BB976" s="4"/>
      <c r="BC976" s="3"/>
      <c r="BJ976" s="4"/>
      <c r="BK976" s="3"/>
      <c r="BR976" s="4"/>
      <c r="BS976" s="3"/>
      <c r="BZ976" s="4"/>
    </row>
    <row r="977" ht="14.25" customHeight="1">
      <c r="T977" s="3"/>
      <c r="AA977" s="4"/>
      <c r="AB977" s="4"/>
      <c r="AC977" s="3"/>
      <c r="AK977" s="4"/>
      <c r="AL977" s="3"/>
      <c r="AS977" s="4"/>
      <c r="AT977" s="4"/>
      <c r="AU977" s="3"/>
      <c r="BB977" s="4"/>
      <c r="BC977" s="3"/>
      <c r="BJ977" s="4"/>
      <c r="BK977" s="3"/>
      <c r="BR977" s="4"/>
      <c r="BS977" s="3"/>
      <c r="BZ977" s="4"/>
    </row>
    <row r="978" ht="14.25" customHeight="1">
      <c r="T978" s="3"/>
      <c r="AA978" s="4"/>
      <c r="AB978" s="4"/>
      <c r="AC978" s="3"/>
      <c r="AK978" s="4"/>
      <c r="AL978" s="3"/>
      <c r="AS978" s="4"/>
      <c r="AT978" s="4"/>
      <c r="AU978" s="3"/>
      <c r="BB978" s="4"/>
      <c r="BC978" s="3"/>
      <c r="BJ978" s="4"/>
      <c r="BK978" s="3"/>
      <c r="BR978" s="4"/>
      <c r="BS978" s="3"/>
      <c r="BZ978" s="4"/>
    </row>
    <row r="979" ht="14.25" customHeight="1">
      <c r="T979" s="3"/>
      <c r="AA979" s="4"/>
      <c r="AB979" s="4"/>
      <c r="AC979" s="3"/>
      <c r="AK979" s="4"/>
      <c r="AL979" s="3"/>
      <c r="AS979" s="4"/>
      <c r="AT979" s="4"/>
      <c r="AU979" s="3"/>
      <c r="BB979" s="4"/>
      <c r="BC979" s="3"/>
      <c r="BJ979" s="4"/>
      <c r="BK979" s="3"/>
      <c r="BR979" s="4"/>
      <c r="BS979" s="3"/>
      <c r="BZ979" s="4"/>
    </row>
    <row r="980" ht="14.25" customHeight="1">
      <c r="T980" s="3"/>
      <c r="AA980" s="4"/>
      <c r="AB980" s="4"/>
      <c r="AC980" s="3"/>
      <c r="AK980" s="4"/>
      <c r="AL980" s="3"/>
      <c r="AS980" s="4"/>
      <c r="AT980" s="4"/>
      <c r="AU980" s="3"/>
      <c r="BB980" s="4"/>
      <c r="BC980" s="3"/>
      <c r="BJ980" s="4"/>
      <c r="BK980" s="3"/>
      <c r="BR980" s="4"/>
      <c r="BS980" s="3"/>
      <c r="BZ980" s="4"/>
    </row>
    <row r="981" ht="14.25" customHeight="1">
      <c r="T981" s="3"/>
      <c r="AA981" s="4"/>
      <c r="AB981" s="4"/>
      <c r="AC981" s="3"/>
      <c r="AK981" s="4"/>
      <c r="AL981" s="3"/>
      <c r="AS981" s="4"/>
      <c r="AT981" s="4"/>
      <c r="AU981" s="3"/>
      <c r="BB981" s="4"/>
      <c r="BC981" s="3"/>
      <c r="BJ981" s="4"/>
      <c r="BK981" s="3"/>
      <c r="BR981" s="4"/>
      <c r="BS981" s="3"/>
      <c r="BZ981" s="4"/>
    </row>
    <row r="982" ht="14.25" customHeight="1">
      <c r="T982" s="3"/>
      <c r="AA982" s="4"/>
      <c r="AB982" s="4"/>
      <c r="AC982" s="3"/>
      <c r="AK982" s="4"/>
      <c r="AL982" s="3"/>
      <c r="AS982" s="4"/>
      <c r="AT982" s="4"/>
      <c r="AU982" s="3"/>
      <c r="BB982" s="4"/>
      <c r="BC982" s="3"/>
      <c r="BJ982" s="4"/>
      <c r="BK982" s="3"/>
      <c r="BR982" s="4"/>
      <c r="BS982" s="3"/>
      <c r="BZ982" s="4"/>
    </row>
    <row r="983" ht="14.25" customHeight="1">
      <c r="T983" s="3"/>
      <c r="AA983" s="4"/>
      <c r="AB983" s="4"/>
      <c r="AC983" s="3"/>
      <c r="AK983" s="4"/>
      <c r="AL983" s="3"/>
      <c r="AS983" s="4"/>
      <c r="AT983" s="4"/>
      <c r="AU983" s="3"/>
      <c r="BB983" s="4"/>
      <c r="BC983" s="3"/>
      <c r="BJ983" s="4"/>
      <c r="BK983" s="3"/>
      <c r="BR983" s="4"/>
      <c r="BS983" s="3"/>
      <c r="BZ983" s="4"/>
    </row>
    <row r="984" ht="14.25" customHeight="1">
      <c r="T984" s="3"/>
      <c r="AA984" s="4"/>
      <c r="AB984" s="4"/>
      <c r="AC984" s="3"/>
      <c r="AK984" s="4"/>
      <c r="AL984" s="3"/>
      <c r="AS984" s="4"/>
      <c r="AT984" s="4"/>
      <c r="AU984" s="3"/>
      <c r="BB984" s="4"/>
      <c r="BC984" s="3"/>
      <c r="BJ984" s="4"/>
      <c r="BK984" s="3"/>
      <c r="BR984" s="4"/>
      <c r="BS984" s="3"/>
      <c r="BZ984" s="4"/>
    </row>
    <row r="985" ht="14.25" customHeight="1">
      <c r="T985" s="3"/>
      <c r="AA985" s="4"/>
      <c r="AB985" s="4"/>
      <c r="AC985" s="3"/>
      <c r="AK985" s="4"/>
      <c r="AL985" s="3"/>
      <c r="AS985" s="4"/>
      <c r="AT985" s="4"/>
      <c r="AU985" s="3"/>
      <c r="BB985" s="4"/>
      <c r="BC985" s="3"/>
      <c r="BJ985" s="4"/>
      <c r="BK985" s="3"/>
      <c r="BR985" s="4"/>
      <c r="BS985" s="3"/>
      <c r="BZ985" s="4"/>
    </row>
    <row r="986" ht="14.25" customHeight="1">
      <c r="T986" s="3"/>
      <c r="AA986" s="4"/>
      <c r="AB986" s="4"/>
      <c r="AC986" s="3"/>
      <c r="AK986" s="4"/>
      <c r="AL986" s="3"/>
      <c r="AS986" s="4"/>
      <c r="AT986" s="4"/>
      <c r="AU986" s="3"/>
      <c r="BB986" s="4"/>
      <c r="BC986" s="3"/>
      <c r="BJ986" s="4"/>
      <c r="BK986" s="3"/>
      <c r="BR986" s="4"/>
      <c r="BS986" s="3"/>
      <c r="BZ986" s="4"/>
    </row>
    <row r="987" ht="14.25" customHeight="1">
      <c r="T987" s="3"/>
      <c r="AA987" s="4"/>
      <c r="AB987" s="4"/>
      <c r="AC987" s="3"/>
      <c r="AK987" s="4"/>
      <c r="AL987" s="3"/>
      <c r="AS987" s="4"/>
      <c r="AT987" s="4"/>
      <c r="AU987" s="3"/>
      <c r="BB987" s="4"/>
      <c r="BC987" s="3"/>
      <c r="BJ987" s="4"/>
      <c r="BK987" s="3"/>
      <c r="BR987" s="4"/>
      <c r="BS987" s="3"/>
      <c r="BZ987" s="4"/>
    </row>
    <row r="988" ht="14.25" customHeight="1">
      <c r="T988" s="3"/>
      <c r="AA988" s="4"/>
      <c r="AB988" s="4"/>
      <c r="AC988" s="3"/>
      <c r="AK988" s="4"/>
      <c r="AL988" s="3"/>
      <c r="AS988" s="4"/>
      <c r="AT988" s="4"/>
      <c r="AU988" s="3"/>
      <c r="BB988" s="4"/>
      <c r="BC988" s="3"/>
      <c r="BJ988" s="4"/>
      <c r="BK988" s="3"/>
      <c r="BR988" s="4"/>
      <c r="BS988" s="3"/>
      <c r="BZ988" s="4"/>
    </row>
    <row r="989" ht="14.25" customHeight="1">
      <c r="T989" s="3"/>
      <c r="AA989" s="4"/>
      <c r="AB989" s="4"/>
      <c r="AC989" s="3"/>
      <c r="AK989" s="4"/>
      <c r="AL989" s="3"/>
      <c r="AS989" s="4"/>
      <c r="AT989" s="4"/>
      <c r="AU989" s="3"/>
      <c r="BB989" s="4"/>
      <c r="BC989" s="3"/>
      <c r="BJ989" s="4"/>
      <c r="BK989" s="3"/>
      <c r="BR989" s="4"/>
      <c r="BS989" s="3"/>
      <c r="BZ989" s="4"/>
    </row>
  </sheetData>
  <mergeCells count="14">
    <mergeCell ref="AE31:AK31"/>
    <mergeCell ref="AD32:AK37"/>
    <mergeCell ref="AW31:BB31"/>
    <mergeCell ref="AV32:BB37"/>
    <mergeCell ref="BM31:BR31"/>
    <mergeCell ref="BL32:BR37"/>
    <mergeCell ref="V31:AA31"/>
    <mergeCell ref="AN31:AS31"/>
    <mergeCell ref="BE31:BJ31"/>
    <mergeCell ref="BU31:BZ31"/>
    <mergeCell ref="U32:AA37"/>
    <mergeCell ref="AM32:AS37"/>
    <mergeCell ref="BD32:BJ37"/>
    <mergeCell ref="BT32:BZ37"/>
  </mergeCells>
  <conditionalFormatting sqref="AA8:AA17 AA19:AA29">
    <cfRule type="cellIs" dxfId="0" priority="1" operator="lessThan">
      <formula>$AA$18</formula>
    </cfRule>
  </conditionalFormatting>
  <conditionalFormatting sqref="AJ8">
    <cfRule type="cellIs" dxfId="0" priority="2" operator="lessThan">
      <formula>0.0232</formula>
    </cfRule>
  </conditionalFormatting>
  <conditionalFormatting sqref="AJ8">
    <cfRule type="cellIs" dxfId="1" priority="3" operator="lessThan">
      <formula>0.0232</formula>
    </cfRule>
  </conditionalFormatting>
  <conditionalFormatting sqref="AJ8:AJ17 AJ19:AJ29">
    <cfRule type="cellIs" dxfId="0" priority="4" operator="lessThan">
      <formula>$AJ$18</formula>
    </cfRule>
  </conditionalFormatting>
  <conditionalFormatting sqref="AS8:AS17 AS19:AS29">
    <cfRule type="cellIs" dxfId="0" priority="5" operator="lessThan">
      <formula>0</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0"/>
    <col customWidth="1" min="2" max="2" width="21.5"/>
    <col customWidth="1" min="3" max="9" width="8.75"/>
    <col customWidth="1" min="10" max="10" width="8.63"/>
    <col customWidth="1" min="11" max="11" width="8.88"/>
    <col customWidth="1" min="12" max="12" width="23.88"/>
    <col customWidth="1" min="13" max="20" width="8.63"/>
    <col customWidth="1" min="21" max="21" width="8.88"/>
    <col customWidth="1" min="22" max="22" width="23.88"/>
    <col customWidth="1" min="23" max="30" width="8.63"/>
    <col customWidth="1" min="31" max="31" width="8.88"/>
    <col customWidth="1" min="32" max="32" width="23.88"/>
    <col customWidth="1" min="33" max="40" width="8.63"/>
    <col customWidth="1" min="41" max="41" width="8.88"/>
    <col customWidth="1" min="42" max="42" width="23.88"/>
    <col customWidth="1" min="43" max="50" width="8.63"/>
  </cols>
  <sheetData>
    <row r="1" ht="14.25" customHeight="1">
      <c r="B1" s="5">
        <v>2023.0</v>
      </c>
      <c r="C1" s="6" t="s">
        <v>5</v>
      </c>
      <c r="D1" s="6" t="s">
        <v>5</v>
      </c>
      <c r="E1" s="6" t="s">
        <v>5</v>
      </c>
      <c r="F1" s="6" t="s">
        <v>5</v>
      </c>
      <c r="G1" s="6" t="s">
        <v>5</v>
      </c>
      <c r="H1" s="7" t="s">
        <v>8</v>
      </c>
      <c r="I1" s="9"/>
      <c r="K1" s="3"/>
      <c r="L1" s="5">
        <f>+B1-1</f>
        <v>2022</v>
      </c>
      <c r="M1" s="6" t="s">
        <v>5</v>
      </c>
      <c r="N1" s="6" t="s">
        <v>5</v>
      </c>
      <c r="O1" s="6" t="s">
        <v>5</v>
      </c>
      <c r="P1" s="6" t="s">
        <v>5</v>
      </c>
      <c r="Q1" s="6" t="s">
        <v>5</v>
      </c>
      <c r="R1" s="7" t="s">
        <v>8</v>
      </c>
      <c r="S1" s="9"/>
      <c r="U1" s="3"/>
      <c r="V1" s="5">
        <f>+L1-1</f>
        <v>2021</v>
      </c>
      <c r="W1" s="6" t="s">
        <v>5</v>
      </c>
      <c r="X1" s="6" t="s">
        <v>5</v>
      </c>
      <c r="Y1" s="6" t="s">
        <v>5</v>
      </c>
      <c r="Z1" s="6" t="s">
        <v>5</v>
      </c>
      <c r="AA1" s="6" t="s">
        <v>5</v>
      </c>
      <c r="AB1" s="7" t="s">
        <v>8</v>
      </c>
      <c r="AC1" s="9"/>
      <c r="AE1" s="3"/>
      <c r="AF1" s="5">
        <f>+V1-1</f>
        <v>2020</v>
      </c>
      <c r="AG1" s="6" t="s">
        <v>5</v>
      </c>
      <c r="AH1" s="6" t="s">
        <v>5</v>
      </c>
      <c r="AI1" s="6" t="s">
        <v>5</v>
      </c>
      <c r="AJ1" s="6" t="s">
        <v>5</v>
      </c>
      <c r="AK1" s="6" t="s">
        <v>5</v>
      </c>
      <c r="AL1" s="7" t="s">
        <v>8</v>
      </c>
      <c r="AM1" s="9"/>
      <c r="AO1" s="3"/>
      <c r="AP1" s="5">
        <f>+AF1-1</f>
        <v>2019</v>
      </c>
      <c r="AQ1" s="6" t="s">
        <v>5</v>
      </c>
      <c r="AR1" s="6" t="s">
        <v>5</v>
      </c>
      <c r="AS1" s="6" t="s">
        <v>5</v>
      </c>
      <c r="AT1" s="6" t="s">
        <v>5</v>
      </c>
      <c r="AU1" s="6" t="s">
        <v>5</v>
      </c>
      <c r="AV1" s="7" t="s">
        <v>8</v>
      </c>
      <c r="AW1" s="9"/>
    </row>
    <row r="2" ht="14.25" customHeight="1">
      <c r="B2" s="1" t="s">
        <v>32</v>
      </c>
      <c r="C2" s="9" t="s">
        <v>33</v>
      </c>
      <c r="D2" s="9" t="s">
        <v>34</v>
      </c>
      <c r="E2" s="9" t="s">
        <v>35</v>
      </c>
      <c r="F2" s="9" t="s">
        <v>36</v>
      </c>
      <c r="G2" s="9" t="s">
        <v>37</v>
      </c>
      <c r="H2" s="16" t="s">
        <v>39</v>
      </c>
      <c r="I2" s="9"/>
      <c r="K2" s="3"/>
      <c r="L2" s="1" t="s">
        <v>32</v>
      </c>
      <c r="M2" s="9" t="s">
        <v>33</v>
      </c>
      <c r="N2" s="9" t="s">
        <v>34</v>
      </c>
      <c r="O2" s="9" t="s">
        <v>35</v>
      </c>
      <c r="P2" s="9" t="s">
        <v>36</v>
      </c>
      <c r="Q2" s="9" t="s">
        <v>37</v>
      </c>
      <c r="R2" s="16" t="s">
        <v>39</v>
      </c>
      <c r="S2" s="9"/>
      <c r="U2" s="3"/>
      <c r="V2" s="1" t="s">
        <v>32</v>
      </c>
      <c r="W2" s="9" t="s">
        <v>33</v>
      </c>
      <c r="X2" s="9" t="s">
        <v>34</v>
      </c>
      <c r="Y2" s="9" t="s">
        <v>35</v>
      </c>
      <c r="Z2" s="9" t="s">
        <v>36</v>
      </c>
      <c r="AA2" s="9" t="s">
        <v>37</v>
      </c>
      <c r="AB2" s="16" t="s">
        <v>39</v>
      </c>
      <c r="AC2" s="9"/>
      <c r="AE2" s="3"/>
      <c r="AF2" s="1" t="s">
        <v>32</v>
      </c>
      <c r="AG2" s="9" t="s">
        <v>33</v>
      </c>
      <c r="AH2" s="9" t="s">
        <v>34</v>
      </c>
      <c r="AI2" s="9" t="s">
        <v>35</v>
      </c>
      <c r="AJ2" s="9" t="s">
        <v>36</v>
      </c>
      <c r="AK2" s="9" t="s">
        <v>37</v>
      </c>
      <c r="AL2" s="16" t="s">
        <v>39</v>
      </c>
      <c r="AM2" s="9"/>
      <c r="AO2" s="3"/>
      <c r="AP2" s="1" t="s">
        <v>32</v>
      </c>
      <c r="AQ2" s="9" t="s">
        <v>33</v>
      </c>
      <c r="AR2" s="9" t="s">
        <v>34</v>
      </c>
      <c r="AS2" s="9" t="s">
        <v>35</v>
      </c>
      <c r="AT2" s="9" t="s">
        <v>36</v>
      </c>
      <c r="AU2" s="9" t="s">
        <v>37</v>
      </c>
      <c r="AV2" s="16" t="s">
        <v>39</v>
      </c>
      <c r="AW2" s="9"/>
    </row>
    <row r="3" ht="14.25" customHeight="1">
      <c r="B3" s="8" t="s">
        <v>9</v>
      </c>
      <c r="C3" s="19">
        <v>5.449387105263158</v>
      </c>
      <c r="D3" s="20">
        <v>-0.06897831504162028</v>
      </c>
      <c r="E3" s="21">
        <v>0.052678236859412315</v>
      </c>
      <c r="F3" s="21">
        <f>+'Trade indicators'!BA8</f>
        <v>0.1219900823</v>
      </c>
      <c r="G3" s="21">
        <f>+'Trade indicators'!BI8</f>
        <v>0.2301683007</v>
      </c>
      <c r="H3" s="22">
        <f>'Trade indicators'!BQ8</f>
        <v>0.511</v>
      </c>
      <c r="I3" s="21"/>
      <c r="K3" s="3"/>
      <c r="L3" s="8" t="s">
        <v>9</v>
      </c>
      <c r="M3" s="23">
        <v>6.487727667844522</v>
      </c>
      <c r="N3" s="20">
        <v>0.08465121628615792</v>
      </c>
      <c r="O3" s="21">
        <v>0.055257123015521915</v>
      </c>
      <c r="P3" s="21">
        <v>0.12065341422124294</v>
      </c>
      <c r="Q3" s="21">
        <v>0.22185496677056993</v>
      </c>
      <c r="R3" s="24">
        <v>0.518</v>
      </c>
      <c r="S3" s="21"/>
      <c r="U3" s="3"/>
      <c r="V3" s="8" t="s">
        <v>9</v>
      </c>
      <c r="W3" s="23">
        <v>5.648614107744108</v>
      </c>
      <c r="X3" s="20">
        <v>0.26447062245491565</v>
      </c>
      <c r="Y3" s="25">
        <v>0.05510660334229519</v>
      </c>
      <c r="Z3" s="21">
        <v>0.1326538543120098</v>
      </c>
      <c r="AA3" s="21">
        <v>0.24151053457590865</v>
      </c>
      <c r="AB3" s="24">
        <v>0.522</v>
      </c>
      <c r="AC3" s="21"/>
      <c r="AE3" s="3"/>
      <c r="AF3" s="8" t="s">
        <v>9</v>
      </c>
      <c r="AG3" s="23">
        <v>4.921819779411765</v>
      </c>
      <c r="AH3" s="20">
        <v>-0.2502044599531105</v>
      </c>
      <c r="AI3" s="21">
        <v>0.051456764886400545</v>
      </c>
      <c r="AJ3" s="21">
        <v>0.15203821136226248</v>
      </c>
      <c r="AK3" s="21">
        <v>0.20467331448132164</v>
      </c>
      <c r="AL3" s="24">
        <v>0.516</v>
      </c>
      <c r="AM3" s="21"/>
      <c r="AO3" s="3"/>
      <c r="AP3" s="8" t="s">
        <v>9</v>
      </c>
      <c r="AQ3" s="23">
        <v>5.448291189591078</v>
      </c>
      <c r="AR3" s="20">
        <v>0.1028200348746317</v>
      </c>
      <c r="AS3" s="21">
        <v>0.059274589040881176</v>
      </c>
      <c r="AT3" s="21">
        <v>0.14496587037860062</v>
      </c>
      <c r="AU3" s="21">
        <v>0.25821302116696354</v>
      </c>
      <c r="AV3" s="24">
        <v>0.517</v>
      </c>
      <c r="AW3" s="21"/>
    </row>
    <row r="4" ht="14.25" customHeight="1">
      <c r="B4" s="8" t="s">
        <v>10</v>
      </c>
      <c r="C4" s="19">
        <v>4.661184210526316</v>
      </c>
      <c r="D4" s="20">
        <v>0.08386943286718454</v>
      </c>
      <c r="E4" s="21">
        <v>4.004484969888058</v>
      </c>
      <c r="F4" s="21">
        <f>+'Trade indicators'!BA9</f>
        <v>1.196383606</v>
      </c>
      <c r="G4" s="21">
        <f>+'Trade indicators'!BI9</f>
        <v>0.8835400032</v>
      </c>
      <c r="H4" s="22">
        <f>'Trade indicators'!BQ9</f>
        <v>0.332</v>
      </c>
      <c r="I4" s="21"/>
      <c r="K4" s="3"/>
      <c r="L4" s="8" t="s">
        <v>10</v>
      </c>
      <c r="M4" s="23">
        <v>5.169064748201438</v>
      </c>
      <c r="N4" s="20">
        <v>0.22558665566713207</v>
      </c>
      <c r="O4" s="21">
        <v>3.6081662064884945</v>
      </c>
      <c r="P4" s="21">
        <v>1.099256210465013</v>
      </c>
      <c r="Q4" s="21">
        <v>0.8217371374736198</v>
      </c>
      <c r="R4" s="24">
        <v>0.329</v>
      </c>
      <c r="S4" s="21"/>
      <c r="U4" s="3"/>
      <c r="V4" s="8" t="s">
        <v>10</v>
      </c>
      <c r="W4" s="23">
        <v>4.39527027027027</v>
      </c>
      <c r="X4" s="20">
        <v>0.14329744544855685</v>
      </c>
      <c r="Y4" s="25">
        <v>3.184549412803632</v>
      </c>
      <c r="Z4" s="21">
        <v>1.0679904691444295</v>
      </c>
      <c r="AA4" s="21">
        <v>0.7672302921632095</v>
      </c>
      <c r="AB4" s="24">
        <v>0.33</v>
      </c>
      <c r="AC4" s="21"/>
      <c r="AE4" s="3"/>
      <c r="AF4" s="8" t="s">
        <v>10</v>
      </c>
      <c r="AG4" s="23">
        <v>4.033962264150944</v>
      </c>
      <c r="AH4" s="20">
        <v>-0.17007205466750136</v>
      </c>
      <c r="AI4" s="21">
        <v>3.2887914765865176</v>
      </c>
      <c r="AJ4" s="21">
        <v>1.306401919974379</v>
      </c>
      <c r="AK4" s="21">
        <v>0.7742493285424725</v>
      </c>
      <c r="AL4" s="24">
        <v>0.335</v>
      </c>
      <c r="AM4" s="21"/>
      <c r="AO4" s="3"/>
      <c r="AP4" s="8" t="s">
        <v>10</v>
      </c>
      <c r="AQ4" s="23">
        <v>4.391941391941391</v>
      </c>
      <c r="AR4" s="20">
        <v>-0.006552274675857049</v>
      </c>
      <c r="AS4" s="21">
        <v>3.4226687991858946</v>
      </c>
      <c r="AT4" s="21">
        <v>1.0966103088250145</v>
      </c>
      <c r="AU4" s="21">
        <v>0.7851787872272595</v>
      </c>
      <c r="AV4" s="24">
        <v>0.333</v>
      </c>
      <c r="AW4" s="21"/>
    </row>
    <row r="5" ht="14.25" customHeight="1">
      <c r="B5" s="8" t="s">
        <v>13</v>
      </c>
      <c r="C5" s="19">
        <v>7.1076233183856505</v>
      </c>
      <c r="D5" s="20">
        <v>-0.013909614231749861</v>
      </c>
      <c r="E5" s="21">
        <v>4.095618919634759</v>
      </c>
      <c r="F5" s="21">
        <f>+'Trade indicators'!BA10</f>
        <v>0.4606535035</v>
      </c>
      <c r="G5" s="21">
        <f>+'Trade indicators'!BI10</f>
        <v>0.7779814339</v>
      </c>
      <c r="H5" s="22">
        <f>'Trade indicators'!BQ10</f>
        <v>0.325</v>
      </c>
      <c r="I5" s="21"/>
      <c r="K5" s="3"/>
      <c r="L5" s="8" t="s">
        <v>13</v>
      </c>
      <c r="M5" s="23">
        <v>8.03921568627451</v>
      </c>
      <c r="N5" s="20">
        <v>0.03950776715794848</v>
      </c>
      <c r="O5" s="21">
        <v>4.0562027138656624</v>
      </c>
      <c r="P5" s="21">
        <v>0.45189112814321025</v>
      </c>
      <c r="Q5" s="21">
        <v>0.7158151612640548</v>
      </c>
      <c r="R5" s="24">
        <v>0.303</v>
      </c>
      <c r="S5" s="21"/>
      <c r="U5" s="3"/>
      <c r="V5" s="8" t="s">
        <v>13</v>
      </c>
      <c r="W5" s="23">
        <v>7.149532710280374</v>
      </c>
      <c r="X5" s="20">
        <v>0.15816219609861887</v>
      </c>
      <c r="Y5" s="25">
        <v>4.220825460093711</v>
      </c>
      <c r="Z5" s="21">
        <v>0.5049272351490038</v>
      </c>
      <c r="AA5" s="21">
        <v>0.748831470611138</v>
      </c>
      <c r="AB5" s="24">
        <v>0.293</v>
      </c>
      <c r="AC5" s="21"/>
      <c r="AE5" s="3"/>
      <c r="AF5" s="8" t="s">
        <v>13</v>
      </c>
      <c r="AG5" s="23">
        <v>6.580976863753213</v>
      </c>
      <c r="AH5" s="20">
        <v>-0.07431910310609402</v>
      </c>
      <c r="AI5" s="21">
        <v>4.303042029497912</v>
      </c>
      <c r="AJ5" s="21">
        <v>0.6000964830657864</v>
      </c>
      <c r="AK5" s="21">
        <v>0.7361503279061059</v>
      </c>
      <c r="AL5" s="24">
        <v>0.304</v>
      </c>
      <c r="AM5" s="21"/>
      <c r="AO5" s="3"/>
      <c r="AP5" s="8" t="s">
        <v>13</v>
      </c>
      <c r="AQ5" s="23">
        <v>7.017994858611826</v>
      </c>
      <c r="AR5" s="20">
        <v>0.005638000691292547</v>
      </c>
      <c r="AS5" s="21">
        <v>4.014978395525652</v>
      </c>
      <c r="AT5" s="21">
        <v>0.4800198359761891</v>
      </c>
      <c r="AU5" s="21">
        <v>0.7485560104070887</v>
      </c>
      <c r="AV5" s="24">
        <v>0.311</v>
      </c>
      <c r="AW5" s="21"/>
    </row>
    <row r="6" ht="14.25" customHeight="1">
      <c r="B6" s="8" t="s">
        <v>14</v>
      </c>
      <c r="C6" s="19">
        <v>5.354503618421052</v>
      </c>
      <c r="D6" s="20">
        <v>0.13559322033898305</v>
      </c>
      <c r="E6" s="21">
        <v>0.0012059596365309652</v>
      </c>
      <c r="F6" s="21">
        <f>+'Trade indicators'!BA11</f>
        <v>0.03387242811</v>
      </c>
      <c r="G6" s="21">
        <f>+'Trade indicators'!BI11</f>
        <v>0.03983155809</v>
      </c>
      <c r="H6" s="22">
        <f>'Trade indicators'!BQ11</f>
        <v>0.783</v>
      </c>
      <c r="I6" s="21"/>
      <c r="K6" s="3"/>
      <c r="L6" s="8" t="s">
        <v>14</v>
      </c>
      <c r="M6" s="23">
        <v>6.066811387900356</v>
      </c>
      <c r="N6" s="20">
        <v>-0.04582210242587601</v>
      </c>
      <c r="O6" s="21">
        <v>0.0010371147631352928</v>
      </c>
      <c r="P6" s="21">
        <v>0.026373828765521117</v>
      </c>
      <c r="Q6" s="21">
        <v>0.033264423980454816</v>
      </c>
      <c r="R6" s="24">
        <v>0.8</v>
      </c>
      <c r="S6" s="21"/>
      <c r="U6" s="3"/>
      <c r="V6" s="8" t="s">
        <v>14</v>
      </c>
      <c r="W6" s="23">
        <v>5.395240234375</v>
      </c>
      <c r="X6" s="20">
        <v>0.4959677419354839</v>
      </c>
      <c r="Y6" s="25">
        <v>0.0011757173983547942</v>
      </c>
      <c r="Z6" s="21">
        <v>0.03861283253439218</v>
      </c>
      <c r="AA6" s="21">
        <v>0.037634408602150504</v>
      </c>
      <c r="AB6" s="24">
        <v>0.824</v>
      </c>
      <c r="AC6" s="21"/>
      <c r="AE6" s="3"/>
      <c r="AF6" s="8" t="s">
        <v>14</v>
      </c>
      <c r="AG6" s="23">
        <v>4.757914351851852</v>
      </c>
      <c r="AH6" s="20">
        <v>0.06437768240343347</v>
      </c>
      <c r="AI6" s="21">
        <v>9.279579473405567E-4</v>
      </c>
      <c r="AJ6" s="21">
        <v>0.039272067097269804</v>
      </c>
      <c r="AK6" s="21">
        <v>0.03504309735763744</v>
      </c>
      <c r="AL6" s="24">
        <v>0.793</v>
      </c>
      <c r="AM6" s="21"/>
      <c r="AO6" s="3"/>
      <c r="AP6" s="8" t="s">
        <v>14</v>
      </c>
      <c r="AQ6" s="23">
        <v>4.780309716599191</v>
      </c>
      <c r="AR6" s="20">
        <v>0.22631578947368422</v>
      </c>
      <c r="AS6" s="21">
        <v>7.530112451079719E-4</v>
      </c>
      <c r="AT6" s="21">
        <v>0.025656542807909972</v>
      </c>
      <c r="AU6" s="21">
        <v>0.034151703920850096</v>
      </c>
      <c r="AV6" s="24">
        <v>0.793</v>
      </c>
      <c r="AW6" s="21"/>
    </row>
    <row r="7" ht="14.25" customHeight="1">
      <c r="B7" s="8" t="s">
        <v>16</v>
      </c>
      <c r="C7" s="19">
        <v>5.9058295964125564</v>
      </c>
      <c r="D7" s="20">
        <v>-0.014852278616813552</v>
      </c>
      <c r="E7" s="21">
        <v>7.578250355960586</v>
      </c>
      <c r="F7" s="21">
        <f>+'Trade indicators'!BA12</f>
        <v>2.140346265</v>
      </c>
      <c r="G7" s="21">
        <f>+'Trade indicators'!BI12</f>
        <v>0.5743458003</v>
      </c>
      <c r="H7" s="22">
        <f>'Trade indicators'!BQ12</f>
        <v>0.366</v>
      </c>
      <c r="I7" s="21"/>
      <c r="K7" s="3"/>
      <c r="L7" s="8" t="s">
        <v>16</v>
      </c>
      <c r="M7" s="23">
        <v>6.604878048780488</v>
      </c>
      <c r="N7" s="20">
        <v>0.01047495912590718</v>
      </c>
      <c r="O7" s="21">
        <v>7.512498990717413</v>
      </c>
      <c r="P7" s="21">
        <v>2.14634672678354</v>
      </c>
      <c r="Q7" s="21">
        <v>0.5633229683166653</v>
      </c>
      <c r="R7" s="24">
        <v>0.353</v>
      </c>
      <c r="S7" s="21"/>
      <c r="U7" s="3"/>
      <c r="V7" s="8" t="s">
        <v>16</v>
      </c>
      <c r="W7" s="23">
        <v>5.481481481481482</v>
      </c>
      <c r="X7" s="20">
        <v>0.19195723803954448</v>
      </c>
      <c r="Y7" s="25">
        <v>8.042005245284122</v>
      </c>
      <c r="Z7" s="21">
        <v>2.561290808582439</v>
      </c>
      <c r="AA7" s="21">
        <v>0.5111203746267418</v>
      </c>
      <c r="AB7" s="24">
        <v>0.345</v>
      </c>
      <c r="AC7" s="21"/>
      <c r="AE7" s="3"/>
      <c r="AF7" s="8" t="s">
        <v>16</v>
      </c>
      <c r="AG7" s="23">
        <v>4.868421052631579</v>
      </c>
      <c r="AH7" s="20">
        <v>-0.09279698717555378</v>
      </c>
      <c r="AI7" s="21">
        <v>7.96620092781576</v>
      </c>
      <c r="AJ7" s="21">
        <v>3.0946461966463334</v>
      </c>
      <c r="AK7" s="21">
        <v>0.5228888587468392</v>
      </c>
      <c r="AL7" s="24">
        <v>0.355</v>
      </c>
      <c r="AM7" s="21"/>
      <c r="AO7" s="3"/>
      <c r="AP7" s="8" t="s">
        <v>16</v>
      </c>
      <c r="AQ7" s="23">
        <v>5.039800995024875</v>
      </c>
      <c r="AR7" s="20">
        <v>0.01595118796219093</v>
      </c>
      <c r="AS7" s="21">
        <v>7.584303406264143</v>
      </c>
      <c r="AT7" s="21">
        <v>2.51128303434389</v>
      </c>
      <c r="AU7" s="21">
        <v>0.5728450079300984</v>
      </c>
      <c r="AV7" s="24">
        <v>0.357</v>
      </c>
      <c r="AW7" s="21"/>
    </row>
    <row r="8" ht="14.25" customHeight="1">
      <c r="B8" s="8" t="s">
        <v>17</v>
      </c>
      <c r="C8" s="19">
        <v>5.55625</v>
      </c>
      <c r="D8" s="20">
        <v>0.05750209428839613</v>
      </c>
      <c r="E8" s="21">
        <v>1.2572729190753984</v>
      </c>
      <c r="F8" s="21">
        <f>+'Trade indicators'!BA13</f>
        <v>0.5723794462</v>
      </c>
      <c r="G8" s="21">
        <f>+'Trade indicators'!BI13</f>
        <v>0.7582378914</v>
      </c>
      <c r="H8" s="22">
        <f>'Trade indicators'!BQ13</f>
        <v>0.354</v>
      </c>
      <c r="I8" s="21"/>
      <c r="K8" s="3"/>
      <c r="L8" s="8" t="s">
        <v>17</v>
      </c>
      <c r="M8" s="23">
        <v>6.5</v>
      </c>
      <c r="N8" s="20">
        <v>0.05495500051907121</v>
      </c>
      <c r="O8" s="21">
        <v>1.1610880634653298</v>
      </c>
      <c r="P8" s="21">
        <v>0.5155848791825055</v>
      </c>
      <c r="Q8" s="21">
        <v>0.7056915114774853</v>
      </c>
      <c r="R8" s="24">
        <v>0.355</v>
      </c>
      <c r="S8" s="21"/>
      <c r="U8" s="3"/>
      <c r="V8" s="8" t="s">
        <v>17</v>
      </c>
      <c r="W8" s="23">
        <v>5.641379310344828</v>
      </c>
      <c r="X8" s="20">
        <v>0.2730639936019953</v>
      </c>
      <c r="Y8" s="25">
        <v>1.1905200289955362</v>
      </c>
      <c r="Z8" s="21">
        <v>0.5958348351055925</v>
      </c>
      <c r="AA8" s="21">
        <v>0.7554888784538331</v>
      </c>
      <c r="AB8" s="24">
        <v>0.358</v>
      </c>
      <c r="AC8" s="21"/>
      <c r="AE8" s="3"/>
      <c r="AF8" s="8" t="s">
        <v>17</v>
      </c>
      <c r="AG8" s="23">
        <v>5.015625</v>
      </c>
      <c r="AH8" s="20">
        <v>-0.2467954117340766</v>
      </c>
      <c r="AI8" s="21">
        <v>1.104165187889595</v>
      </c>
      <c r="AJ8" s="21">
        <v>0.6860246964890309</v>
      </c>
      <c r="AK8" s="21">
        <v>0.7203629497355628</v>
      </c>
      <c r="AL8" s="24">
        <v>0.342</v>
      </c>
      <c r="AM8" s="21"/>
      <c r="AO8" s="3"/>
      <c r="AP8" s="8" t="s">
        <v>17</v>
      </c>
      <c r="AQ8" s="23">
        <v>5.122302158273381</v>
      </c>
      <c r="AR8" s="20">
        <v>-0.11290490573898553</v>
      </c>
      <c r="AS8" s="21">
        <v>1.266164170089663</v>
      </c>
      <c r="AT8" s="21">
        <v>0.6693023636811323</v>
      </c>
      <c r="AU8" s="21">
        <v>0.7347122479233299</v>
      </c>
      <c r="AV8" s="24">
        <v>0.341</v>
      </c>
      <c r="AW8" s="21"/>
    </row>
    <row r="9" ht="14.25" customHeight="1">
      <c r="B9" s="8" t="s">
        <v>18</v>
      </c>
      <c r="C9" s="19">
        <v>6.627118644067796</v>
      </c>
      <c r="D9" s="20">
        <v>0.016371681415929203</v>
      </c>
      <c r="E9" s="21">
        <v>0.620169242935439</v>
      </c>
      <c r="F9" s="21">
        <f>+'Trade indicators'!BA14</f>
        <v>0.5988923875</v>
      </c>
      <c r="G9" s="21">
        <f>+'Trade indicators'!BI14</f>
        <v>0.79758483</v>
      </c>
      <c r="H9" s="22">
        <f>'Trade indicators'!BQ14</f>
        <v>0.37</v>
      </c>
      <c r="I9" s="21"/>
      <c r="K9" s="3"/>
      <c r="L9" s="8" t="s">
        <v>18</v>
      </c>
      <c r="M9" s="23">
        <v>6.7851099830795265</v>
      </c>
      <c r="N9" s="20">
        <v>0.07833573670370685</v>
      </c>
      <c r="O9" s="21">
        <v>0.5959015333946852</v>
      </c>
      <c r="P9" s="21">
        <v>0.5666438519535881</v>
      </c>
      <c r="Q9" s="21">
        <v>0.742322220397438</v>
      </c>
      <c r="R9" s="24">
        <v>0.353</v>
      </c>
      <c r="S9" s="21"/>
      <c r="U9" s="3"/>
      <c r="V9" s="8" t="s">
        <v>18</v>
      </c>
      <c r="W9" s="23">
        <v>5.890625</v>
      </c>
      <c r="X9" s="20">
        <v>0.2361815631840405</v>
      </c>
      <c r="Y9" s="25">
        <v>0.5977588101004708</v>
      </c>
      <c r="Z9" s="21">
        <v>0.6172308661356297</v>
      </c>
      <c r="AA9" s="21">
        <v>0.7346358543144629</v>
      </c>
      <c r="AB9" s="24">
        <v>0.347</v>
      </c>
      <c r="AC9" s="21"/>
      <c r="AE9" s="3"/>
      <c r="AF9" s="8" t="s">
        <v>18</v>
      </c>
      <c r="AG9" s="23">
        <v>5.557586837294333</v>
      </c>
      <c r="AH9" s="20">
        <v>0.007986682256881825</v>
      </c>
      <c r="AI9" s="21">
        <v>0.5709410941649443</v>
      </c>
      <c r="AJ9" s="21">
        <v>0.7140356550063179</v>
      </c>
      <c r="AK9" s="21">
        <v>0.7520330412325404</v>
      </c>
      <c r="AL9" s="24">
        <v>0.354</v>
      </c>
      <c r="AM9" s="21"/>
      <c r="AO9" s="3"/>
      <c r="AP9" s="8" t="s">
        <v>18</v>
      </c>
      <c r="AQ9" s="23">
        <v>5.992509363295881</v>
      </c>
      <c r="AR9" s="20">
        <v>0.13101268660061863</v>
      </c>
      <c r="AS9" s="21">
        <v>0.48922138734210074</v>
      </c>
      <c r="AT9" s="21">
        <v>0.5413047009925298</v>
      </c>
      <c r="AU9" s="21">
        <v>0.6962631115363122</v>
      </c>
      <c r="AV9" s="24">
        <v>0.361</v>
      </c>
      <c r="AW9" s="21"/>
    </row>
    <row r="10" ht="14.25" customHeight="1">
      <c r="B10" s="8" t="s">
        <v>19</v>
      </c>
      <c r="C10" s="19">
        <v>8.850056369785793</v>
      </c>
      <c r="D10" s="20">
        <v>0.25845481909933304</v>
      </c>
      <c r="E10" s="21">
        <v>0.31981929564817463</v>
      </c>
      <c r="F10" s="21">
        <f>+'Trade indicators'!BA15</f>
        <v>0.1455992478</v>
      </c>
      <c r="G10" s="21">
        <f>+'Trade indicators'!BI15</f>
        <v>0.4182178373</v>
      </c>
      <c r="H10" s="22">
        <f>'Trade indicators'!BQ15</f>
        <v>0.674</v>
      </c>
      <c r="I10" s="21"/>
      <c r="K10" s="3"/>
      <c r="L10" s="8" t="s">
        <v>19</v>
      </c>
      <c r="M10" s="23">
        <v>9.24205378973105</v>
      </c>
      <c r="N10" s="20">
        <v>-0.06340519624101713</v>
      </c>
      <c r="O10" s="21">
        <v>0.2481897659858936</v>
      </c>
      <c r="P10" s="21">
        <v>0.11682202944706424</v>
      </c>
      <c r="Q10" s="21">
        <v>0.3536902314027158</v>
      </c>
      <c r="R10" s="24">
        <v>0.66</v>
      </c>
      <c r="S10" s="21"/>
      <c r="U10" s="3"/>
      <c r="V10" s="8" t="s">
        <v>19</v>
      </c>
      <c r="W10" s="23">
        <v>8.646986469864698</v>
      </c>
      <c r="X10" s="20">
        <v>0.15859047765438267</v>
      </c>
      <c r="Y10" s="25">
        <v>0.2866405355288171</v>
      </c>
      <c r="Z10" s="21">
        <v>0.1479889405430054</v>
      </c>
      <c r="AA10" s="21">
        <v>0.3743791390728477</v>
      </c>
      <c r="AB10" s="24">
        <v>0.644</v>
      </c>
      <c r="AC10" s="21"/>
      <c r="AE10" s="3"/>
      <c r="AF10" s="8" t="s">
        <v>19</v>
      </c>
      <c r="AG10" s="23">
        <v>8.20754716981132</v>
      </c>
      <c r="AH10" s="20">
        <v>-0.05626004859591649</v>
      </c>
      <c r="AI10" s="21">
        <v>0.29211592335052383</v>
      </c>
      <c r="AJ10" s="21">
        <v>0.1775108247780403</v>
      </c>
      <c r="AK10" s="21">
        <v>0.3747803711846994</v>
      </c>
      <c r="AL10" s="24">
        <v>0.64</v>
      </c>
      <c r="AM10" s="21"/>
      <c r="AO10" s="3"/>
      <c r="AP10" s="8" t="s">
        <v>19</v>
      </c>
      <c r="AQ10" s="23">
        <v>8.183079056865465</v>
      </c>
      <c r="AR10" s="20">
        <v>-0.03956763534615876</v>
      </c>
      <c r="AS10" s="21">
        <v>0.2673448464766814</v>
      </c>
      <c r="AT10" s="21">
        <v>0.15167164903075142</v>
      </c>
      <c r="AU10" s="21">
        <v>0.3848736016153683</v>
      </c>
      <c r="AV10" s="24">
        <v>0.636</v>
      </c>
      <c r="AW10" s="21"/>
    </row>
    <row r="11" ht="14.25" customHeight="1">
      <c r="B11" s="8" t="s">
        <v>20</v>
      </c>
      <c r="C11" s="19">
        <v>3.931137724550898</v>
      </c>
      <c r="D11" s="20">
        <v>-0.10028252211569437</v>
      </c>
      <c r="E11" s="21">
        <v>0.946747312367455</v>
      </c>
      <c r="F11" s="21">
        <f>+'Trade indicators'!BA16</f>
        <v>0.3474562411</v>
      </c>
      <c r="G11" s="21">
        <f>+'Trade indicators'!BI16</f>
        <v>0.4197357309</v>
      </c>
      <c r="H11" s="22">
        <f>'Trade indicators'!BQ16</f>
        <v>0.372</v>
      </c>
      <c r="I11" s="21"/>
      <c r="K11" s="3"/>
      <c r="L11" s="8" t="s">
        <v>20</v>
      </c>
      <c r="M11" s="23">
        <v>4.391585760517799</v>
      </c>
      <c r="N11" s="20">
        <v>0.10922113651456218</v>
      </c>
      <c r="O11" s="21">
        <v>1.0276488936446428</v>
      </c>
      <c r="P11" s="21">
        <v>0.3616528112422446</v>
      </c>
      <c r="Q11" s="21">
        <v>0.42567891046664386</v>
      </c>
      <c r="R11" s="24">
        <v>0.365</v>
      </c>
      <c r="S11" s="21"/>
      <c r="U11" s="3"/>
      <c r="V11" s="8" t="s">
        <v>20</v>
      </c>
      <c r="W11" s="23">
        <v>3.691082802547771</v>
      </c>
      <c r="X11" s="20">
        <v>-0.16683792029592628</v>
      </c>
      <c r="Y11" s="25">
        <v>1.0021485522418776</v>
      </c>
      <c r="Z11" s="21">
        <v>0.41743268122251564</v>
      </c>
      <c r="AA11" s="21">
        <v>0.4466821950044706</v>
      </c>
      <c r="AB11" s="24">
        <v>0.323</v>
      </c>
      <c r="AC11" s="21"/>
      <c r="AE11" s="3"/>
      <c r="AF11" s="8" t="s">
        <v>20</v>
      </c>
      <c r="AG11" s="23">
        <v>3.8148148148148144</v>
      </c>
      <c r="AH11" s="20">
        <v>-0.17469242912497226</v>
      </c>
      <c r="AI11" s="21">
        <v>1.4202022207455551</v>
      </c>
      <c r="AJ11" s="21">
        <v>0.6952088551460621</v>
      </c>
      <c r="AK11" s="21">
        <v>0.5122469664313409</v>
      </c>
      <c r="AL11" s="24">
        <v>0.32</v>
      </c>
      <c r="AM11" s="21"/>
      <c r="AO11" s="3"/>
      <c r="AP11" s="8" t="s">
        <v>20</v>
      </c>
      <c r="AQ11" s="23">
        <v>4.0701754385964914</v>
      </c>
      <c r="AR11" s="20">
        <v>-0.1500459265803087</v>
      </c>
      <c r="AS11" s="21">
        <v>1.4862890710630285</v>
      </c>
      <c r="AT11" s="21">
        <v>0.5657436280455336</v>
      </c>
      <c r="AU11" s="21">
        <v>0.4958647745424728</v>
      </c>
      <c r="AV11" s="24">
        <v>0.324</v>
      </c>
      <c r="AW11" s="21"/>
    </row>
    <row r="12" ht="14.25" customHeight="1">
      <c r="B12" s="8" t="s">
        <v>21</v>
      </c>
      <c r="C12" s="19">
        <v>1.901098901098901</v>
      </c>
      <c r="D12" s="20">
        <v>-0.09889793945405505</v>
      </c>
      <c r="E12" s="21">
        <v>1.5043476494841719</v>
      </c>
      <c r="F12" s="21">
        <f>+'Trade indicators'!BA17</f>
        <v>0.1423969219</v>
      </c>
      <c r="G12" s="21">
        <f>+'Trade indicators'!BI17</f>
        <v>0.1948326036</v>
      </c>
      <c r="H12" s="22">
        <f>'Trade indicators'!BQ17</f>
        <v>0.219</v>
      </c>
      <c r="I12" s="21"/>
      <c r="K12" s="3"/>
      <c r="L12" s="8" t="s">
        <v>21</v>
      </c>
      <c r="M12" s="23">
        <v>2.11284046692607</v>
      </c>
      <c r="N12" s="20">
        <v>-0.28972901361568737</v>
      </c>
      <c r="O12" s="21">
        <v>1.6303883531894912</v>
      </c>
      <c r="P12" s="21">
        <v>0.1490131900928346</v>
      </c>
      <c r="Q12" s="21">
        <v>0.18033921088005056</v>
      </c>
      <c r="R12" s="24">
        <v>0.228</v>
      </c>
      <c r="S12" s="21"/>
      <c r="U12" s="3"/>
      <c r="V12" s="8" t="s">
        <v>21</v>
      </c>
      <c r="W12" s="23">
        <v>1.9830508474576272</v>
      </c>
      <c r="X12" s="20">
        <v>0.43511461567345294</v>
      </c>
      <c r="Y12" s="25">
        <v>2.4829757071433103</v>
      </c>
      <c r="Z12" s="21">
        <v>0.278361823607349</v>
      </c>
      <c r="AA12" s="21">
        <v>0.26388239620956255</v>
      </c>
      <c r="AB12" s="24">
        <v>0.232</v>
      </c>
      <c r="AC12" s="21"/>
      <c r="AE12" s="3"/>
      <c r="AF12" s="8" t="s">
        <v>21</v>
      </c>
      <c r="AG12" s="23">
        <v>1.8028169014084507</v>
      </c>
      <c r="AH12" s="20">
        <v>-0.28655156461944975</v>
      </c>
      <c r="AI12" s="21">
        <v>2.042835811049652</v>
      </c>
      <c r="AJ12" s="21">
        <v>0.276922165294523</v>
      </c>
      <c r="AK12" s="21">
        <v>0.22160889138929785</v>
      </c>
      <c r="AL12" s="24">
        <v>0.23</v>
      </c>
      <c r="AM12" s="21"/>
      <c r="AO12" s="3"/>
      <c r="AP12" s="8" t="s">
        <v>21</v>
      </c>
      <c r="AQ12" s="23">
        <v>1.958139534883721</v>
      </c>
      <c r="AR12" s="20">
        <v>-0.08326884234889342</v>
      </c>
      <c r="AS12" s="21">
        <v>2.473089301025553</v>
      </c>
      <c r="AT12" s="21">
        <v>0.2686322752701345</v>
      </c>
      <c r="AU12" s="21">
        <v>0.26236298939949076</v>
      </c>
      <c r="AV12" s="24">
        <v>0.24</v>
      </c>
      <c r="AW12" s="21"/>
    </row>
    <row r="13" ht="14.25" customHeight="1">
      <c r="C13" s="21" t="str">
        <f>+'Trade indicators'!Z19</f>
        <v/>
      </c>
      <c r="D13" s="20" t="str">
        <f>'Trade indicators'!AI19</f>
        <v/>
      </c>
      <c r="E13" s="21" t="str">
        <f>+'Trade indicators'!AR19</f>
        <v/>
      </c>
      <c r="F13" s="21" t="str">
        <f>+'Trade indicators'!BA19</f>
        <v/>
      </c>
      <c r="G13" s="21" t="str">
        <f>+'Trade indicators'!BI19</f>
        <v/>
      </c>
      <c r="H13" s="22" t="str">
        <f>'Trade indicators'!BQ19</f>
        <v/>
      </c>
      <c r="I13" s="21"/>
      <c r="K13" s="3"/>
      <c r="M13" s="21"/>
      <c r="N13" s="20"/>
      <c r="O13" s="21"/>
      <c r="P13" s="21"/>
      <c r="Q13" s="21"/>
      <c r="R13" s="22"/>
      <c r="S13" s="21"/>
      <c r="U13" s="3"/>
      <c r="W13" s="21"/>
      <c r="X13" s="20"/>
      <c r="Y13" s="21"/>
      <c r="Z13" s="21"/>
      <c r="AA13" s="21"/>
      <c r="AB13" s="22"/>
      <c r="AC13" s="21"/>
      <c r="AE13" s="3"/>
      <c r="AG13" s="21"/>
      <c r="AH13" s="20"/>
      <c r="AI13" s="21"/>
      <c r="AJ13" s="21"/>
      <c r="AK13" s="21"/>
      <c r="AL13" s="22"/>
      <c r="AM13" s="21"/>
      <c r="AO13" s="3"/>
      <c r="AQ13" s="21"/>
      <c r="AR13" s="20"/>
      <c r="AS13" s="21"/>
      <c r="AT13" s="21"/>
      <c r="AU13" s="21"/>
      <c r="AV13" s="22"/>
      <c r="AW13" s="21"/>
    </row>
    <row r="14" ht="14.25" customHeight="1">
      <c r="C14" s="21" t="str">
        <f>+'Trade indicators'!Z20</f>
        <v/>
      </c>
      <c r="D14" s="20" t="str">
        <f>'Trade indicators'!AI20</f>
        <v/>
      </c>
      <c r="E14" s="21" t="str">
        <f>+'Trade indicators'!AR20</f>
        <v/>
      </c>
      <c r="F14" s="21" t="str">
        <f>+'Trade indicators'!BA20</f>
        <v/>
      </c>
      <c r="G14" s="21" t="str">
        <f>+'Trade indicators'!BI20</f>
        <v/>
      </c>
      <c r="H14" s="22" t="str">
        <f>'Trade indicators'!BQ20</f>
        <v/>
      </c>
      <c r="I14" s="21"/>
      <c r="K14" s="3"/>
      <c r="M14" s="21"/>
      <c r="N14" s="20"/>
      <c r="O14" s="21"/>
      <c r="P14" s="21"/>
      <c r="Q14" s="21"/>
      <c r="R14" s="22"/>
      <c r="S14" s="21"/>
      <c r="U14" s="3"/>
      <c r="W14" s="21"/>
      <c r="X14" s="20"/>
      <c r="Y14" s="21"/>
      <c r="Z14" s="21"/>
      <c r="AA14" s="21"/>
      <c r="AB14" s="22"/>
      <c r="AC14" s="21"/>
      <c r="AE14" s="3"/>
      <c r="AG14" s="21"/>
      <c r="AH14" s="20"/>
      <c r="AI14" s="21"/>
      <c r="AJ14" s="21"/>
      <c r="AK14" s="21"/>
      <c r="AL14" s="22"/>
      <c r="AM14" s="21"/>
      <c r="AO14" s="3"/>
      <c r="AQ14" s="21"/>
      <c r="AR14" s="20"/>
      <c r="AS14" s="21"/>
      <c r="AT14" s="21"/>
      <c r="AU14" s="21"/>
      <c r="AV14" s="22"/>
      <c r="AW14" s="21"/>
    </row>
    <row r="15" ht="14.25" customHeight="1">
      <c r="C15" s="21" t="str">
        <f>+'Trade indicators'!Z21</f>
        <v/>
      </c>
      <c r="D15" s="20" t="str">
        <f>'Trade indicators'!AI21</f>
        <v/>
      </c>
      <c r="E15" s="21" t="str">
        <f>+'Trade indicators'!AR21</f>
        <v/>
      </c>
      <c r="F15" s="21" t="str">
        <f>+'Trade indicators'!BA21</f>
        <v/>
      </c>
      <c r="G15" s="21" t="str">
        <f>+'Trade indicators'!BI21</f>
        <v/>
      </c>
      <c r="H15" s="22" t="str">
        <f>'Trade indicators'!BQ21</f>
        <v/>
      </c>
      <c r="I15" s="21"/>
      <c r="K15" s="3"/>
      <c r="M15" s="21"/>
      <c r="N15" s="20"/>
      <c r="O15" s="21"/>
      <c r="P15" s="21"/>
      <c r="Q15" s="21"/>
      <c r="R15" s="22"/>
      <c r="S15" s="21"/>
      <c r="U15" s="3"/>
      <c r="W15" s="21"/>
      <c r="X15" s="20"/>
      <c r="Y15" s="21"/>
      <c r="Z15" s="21"/>
      <c r="AA15" s="21"/>
      <c r="AB15" s="22"/>
      <c r="AC15" s="21"/>
      <c r="AE15" s="3"/>
      <c r="AG15" s="21"/>
      <c r="AH15" s="20"/>
      <c r="AI15" s="21"/>
      <c r="AJ15" s="21"/>
      <c r="AK15" s="21"/>
      <c r="AL15" s="22"/>
      <c r="AM15" s="21"/>
      <c r="AO15" s="3"/>
      <c r="AQ15" s="21"/>
      <c r="AR15" s="20"/>
      <c r="AS15" s="21"/>
      <c r="AT15" s="21"/>
      <c r="AU15" s="21"/>
      <c r="AV15" s="22"/>
      <c r="AW15" s="21"/>
    </row>
    <row r="16" ht="14.25" customHeight="1">
      <c r="C16" s="21" t="str">
        <f>+'Trade indicators'!Z22</f>
        <v/>
      </c>
      <c r="D16" s="20" t="str">
        <f>'Trade indicators'!AI22</f>
        <v/>
      </c>
      <c r="E16" s="21" t="str">
        <f>+'Trade indicators'!AR22</f>
        <v/>
      </c>
      <c r="F16" s="21" t="str">
        <f>+'Trade indicators'!BA22</f>
        <v/>
      </c>
      <c r="G16" s="21" t="str">
        <f>+'Trade indicators'!BI22</f>
        <v/>
      </c>
      <c r="H16" s="22" t="str">
        <f>'Trade indicators'!BQ22</f>
        <v/>
      </c>
      <c r="I16" s="21"/>
      <c r="K16" s="3"/>
      <c r="M16" s="21"/>
      <c r="N16" s="20"/>
      <c r="O16" s="21"/>
      <c r="P16" s="21"/>
      <c r="Q16" s="21"/>
      <c r="R16" s="22"/>
      <c r="S16" s="21"/>
      <c r="U16" s="3"/>
      <c r="W16" s="21"/>
      <c r="X16" s="20"/>
      <c r="Y16" s="21"/>
      <c r="Z16" s="21"/>
      <c r="AA16" s="21"/>
      <c r="AB16" s="22"/>
      <c r="AC16" s="21"/>
      <c r="AE16" s="3"/>
      <c r="AG16" s="21"/>
      <c r="AH16" s="20"/>
      <c r="AI16" s="21"/>
      <c r="AJ16" s="21"/>
      <c r="AK16" s="21"/>
      <c r="AL16" s="22"/>
      <c r="AM16" s="21"/>
      <c r="AO16" s="3"/>
      <c r="AQ16" s="21"/>
      <c r="AR16" s="20"/>
      <c r="AS16" s="21"/>
      <c r="AT16" s="21"/>
      <c r="AU16" s="21"/>
      <c r="AV16" s="22"/>
      <c r="AW16" s="21"/>
    </row>
    <row r="17" ht="14.25" customHeight="1">
      <c r="C17" s="21" t="str">
        <f>+'Trade indicators'!Z23</f>
        <v/>
      </c>
      <c r="D17" s="20" t="str">
        <f>'Trade indicators'!AI23</f>
        <v/>
      </c>
      <c r="E17" s="21" t="str">
        <f>+'Trade indicators'!AR23</f>
        <v/>
      </c>
      <c r="F17" s="21" t="str">
        <f>+'Trade indicators'!BA23</f>
        <v/>
      </c>
      <c r="G17" s="21" t="str">
        <f>+'Trade indicators'!BI23</f>
        <v/>
      </c>
      <c r="H17" s="22" t="str">
        <f>'Trade indicators'!BQ23</f>
        <v/>
      </c>
      <c r="I17" s="21"/>
      <c r="K17" s="3"/>
      <c r="M17" s="21"/>
      <c r="N17" s="20"/>
      <c r="O17" s="21"/>
      <c r="P17" s="21"/>
      <c r="Q17" s="21"/>
      <c r="R17" s="22"/>
      <c r="S17" s="21"/>
      <c r="U17" s="3"/>
      <c r="W17" s="21"/>
      <c r="X17" s="20"/>
      <c r="Y17" s="21"/>
      <c r="Z17" s="21"/>
      <c r="AA17" s="21"/>
      <c r="AB17" s="22"/>
      <c r="AC17" s="21"/>
      <c r="AE17" s="3"/>
      <c r="AG17" s="21"/>
      <c r="AH17" s="20"/>
      <c r="AI17" s="21"/>
      <c r="AJ17" s="21"/>
      <c r="AK17" s="21"/>
      <c r="AL17" s="22"/>
      <c r="AM17" s="21"/>
      <c r="AO17" s="3"/>
      <c r="AQ17" s="21"/>
      <c r="AR17" s="20"/>
      <c r="AS17" s="21"/>
      <c r="AT17" s="21"/>
      <c r="AU17" s="21"/>
      <c r="AV17" s="22"/>
      <c r="AW17" s="21"/>
    </row>
    <row r="18" ht="14.25" customHeight="1">
      <c r="C18" s="21" t="str">
        <f>+'Trade indicators'!Z24</f>
        <v/>
      </c>
      <c r="D18" s="20" t="str">
        <f>'Trade indicators'!AI24</f>
        <v/>
      </c>
      <c r="E18" s="21" t="str">
        <f>+'Trade indicators'!AR24</f>
        <v/>
      </c>
      <c r="F18" s="21" t="str">
        <f>+'Trade indicators'!BA24</f>
        <v/>
      </c>
      <c r="G18" s="21" t="str">
        <f>+'Trade indicators'!BI24</f>
        <v/>
      </c>
      <c r="H18" s="22" t="str">
        <f>'Trade indicators'!BQ24</f>
        <v/>
      </c>
      <c r="I18" s="21"/>
      <c r="K18" s="3"/>
      <c r="M18" s="21"/>
      <c r="N18" s="20"/>
      <c r="O18" s="21"/>
      <c r="P18" s="21"/>
      <c r="Q18" s="21"/>
      <c r="R18" s="22"/>
      <c r="S18" s="21"/>
      <c r="U18" s="3"/>
      <c r="W18" s="21"/>
      <c r="X18" s="20"/>
      <c r="Y18" s="21"/>
      <c r="Z18" s="21"/>
      <c r="AA18" s="21"/>
      <c r="AB18" s="22"/>
      <c r="AC18" s="21"/>
      <c r="AE18" s="3"/>
      <c r="AG18" s="21"/>
      <c r="AH18" s="20"/>
      <c r="AI18" s="21"/>
      <c r="AJ18" s="21"/>
      <c r="AK18" s="21"/>
      <c r="AL18" s="22"/>
      <c r="AM18" s="21"/>
      <c r="AO18" s="3"/>
      <c r="AQ18" s="21"/>
      <c r="AR18" s="20"/>
      <c r="AS18" s="21"/>
      <c r="AT18" s="21"/>
      <c r="AU18" s="21"/>
      <c r="AV18" s="22"/>
      <c r="AW18" s="21"/>
    </row>
    <row r="19" ht="14.25" customHeight="1">
      <c r="C19" s="21" t="str">
        <f>+'Trade indicators'!Z25</f>
        <v/>
      </c>
      <c r="D19" s="20" t="str">
        <f>'Trade indicators'!AI25</f>
        <v/>
      </c>
      <c r="E19" s="21" t="str">
        <f>+'Trade indicators'!AR25</f>
        <v/>
      </c>
      <c r="F19" s="21" t="str">
        <f>+'Trade indicators'!BA25</f>
        <v/>
      </c>
      <c r="G19" s="21" t="str">
        <f>+'Trade indicators'!BI25</f>
        <v/>
      </c>
      <c r="H19" s="22" t="str">
        <f>'Trade indicators'!BQ25</f>
        <v/>
      </c>
      <c r="I19" s="21"/>
      <c r="K19" s="3"/>
      <c r="M19" s="21"/>
      <c r="N19" s="20"/>
      <c r="O19" s="21"/>
      <c r="P19" s="21"/>
      <c r="Q19" s="21"/>
      <c r="R19" s="22"/>
      <c r="S19" s="21"/>
      <c r="U19" s="3"/>
      <c r="W19" s="21"/>
      <c r="X19" s="20"/>
      <c r="Y19" s="21"/>
      <c r="Z19" s="21"/>
      <c r="AA19" s="21"/>
      <c r="AB19" s="22"/>
      <c r="AC19" s="21"/>
      <c r="AE19" s="3"/>
      <c r="AG19" s="21"/>
      <c r="AH19" s="20"/>
      <c r="AI19" s="21"/>
      <c r="AJ19" s="21"/>
      <c r="AK19" s="21"/>
      <c r="AL19" s="22"/>
      <c r="AM19" s="21"/>
      <c r="AO19" s="3"/>
      <c r="AQ19" s="21"/>
      <c r="AR19" s="20"/>
      <c r="AS19" s="21"/>
      <c r="AT19" s="21"/>
      <c r="AU19" s="21"/>
      <c r="AV19" s="22"/>
      <c r="AW19" s="21"/>
    </row>
    <row r="20" ht="14.25" customHeight="1">
      <c r="C20" s="21" t="str">
        <f>+'Trade indicators'!Z26</f>
        <v/>
      </c>
      <c r="D20" s="20" t="str">
        <f>'Trade indicators'!AI26</f>
        <v/>
      </c>
      <c r="E20" s="21" t="str">
        <f>+'Trade indicators'!AR26</f>
        <v/>
      </c>
      <c r="F20" s="21" t="str">
        <f>+'Trade indicators'!BA26</f>
        <v/>
      </c>
      <c r="G20" s="21" t="str">
        <f>+'Trade indicators'!BI26</f>
        <v/>
      </c>
      <c r="H20" s="22" t="str">
        <f>'Trade indicators'!BQ26</f>
        <v/>
      </c>
      <c r="I20" s="21"/>
      <c r="K20" s="3"/>
      <c r="M20" s="21"/>
      <c r="N20" s="20"/>
      <c r="O20" s="21"/>
      <c r="P20" s="21"/>
      <c r="Q20" s="21"/>
      <c r="R20" s="22"/>
      <c r="S20" s="21"/>
      <c r="U20" s="3"/>
      <c r="W20" s="21"/>
      <c r="X20" s="20"/>
      <c r="Y20" s="21"/>
      <c r="Z20" s="21"/>
      <c r="AA20" s="21"/>
      <c r="AB20" s="22"/>
      <c r="AC20" s="21"/>
      <c r="AE20" s="3"/>
      <c r="AG20" s="21"/>
      <c r="AH20" s="20"/>
      <c r="AI20" s="21"/>
      <c r="AJ20" s="21"/>
      <c r="AK20" s="21"/>
      <c r="AL20" s="22"/>
      <c r="AM20" s="21"/>
      <c r="AO20" s="3"/>
      <c r="AQ20" s="21"/>
      <c r="AR20" s="20"/>
      <c r="AS20" s="21"/>
      <c r="AT20" s="21"/>
      <c r="AU20" s="21"/>
      <c r="AV20" s="22"/>
      <c r="AW20" s="21"/>
    </row>
    <row r="21" ht="14.25" customHeight="1">
      <c r="C21" s="21" t="str">
        <f>+'Trade indicators'!Z27</f>
        <v/>
      </c>
      <c r="D21" s="20" t="str">
        <f>'Trade indicators'!AI27</f>
        <v/>
      </c>
      <c r="E21" s="21" t="str">
        <f>+'Trade indicators'!AR27</f>
        <v/>
      </c>
      <c r="F21" s="21" t="str">
        <f>+'Trade indicators'!BA27</f>
        <v/>
      </c>
      <c r="G21" s="21" t="str">
        <f>+'Trade indicators'!BI27</f>
        <v/>
      </c>
      <c r="H21" s="22" t="str">
        <f>'Trade indicators'!BQ27</f>
        <v/>
      </c>
      <c r="I21" s="21"/>
      <c r="K21" s="3"/>
      <c r="M21" s="21"/>
      <c r="N21" s="20"/>
      <c r="O21" s="21"/>
      <c r="P21" s="21"/>
      <c r="Q21" s="21"/>
      <c r="R21" s="22"/>
      <c r="S21" s="21"/>
      <c r="U21" s="3"/>
      <c r="W21" s="21"/>
      <c r="X21" s="20"/>
      <c r="Y21" s="21"/>
      <c r="Z21" s="21"/>
      <c r="AA21" s="21"/>
      <c r="AB21" s="22"/>
      <c r="AC21" s="21"/>
      <c r="AE21" s="3"/>
      <c r="AG21" s="21"/>
      <c r="AH21" s="20"/>
      <c r="AI21" s="21"/>
      <c r="AJ21" s="21"/>
      <c r="AK21" s="21"/>
      <c r="AL21" s="22"/>
      <c r="AM21" s="21"/>
      <c r="AO21" s="3"/>
      <c r="AQ21" s="21"/>
      <c r="AR21" s="20"/>
      <c r="AS21" s="21"/>
      <c r="AT21" s="21"/>
      <c r="AU21" s="21"/>
      <c r="AV21" s="22"/>
      <c r="AW21" s="21"/>
    </row>
    <row r="22" ht="14.25" customHeight="1">
      <c r="C22" s="21" t="str">
        <f>+'Trade indicators'!Z28</f>
        <v/>
      </c>
      <c r="D22" s="20" t="str">
        <f>'Trade indicators'!AI28</f>
        <v/>
      </c>
      <c r="E22" s="21" t="str">
        <f>+'Trade indicators'!AR28</f>
        <v/>
      </c>
      <c r="F22" s="21" t="str">
        <f>+'Trade indicators'!BA28</f>
        <v/>
      </c>
      <c r="G22" s="21" t="str">
        <f>+'Trade indicators'!BI28</f>
        <v/>
      </c>
      <c r="H22" s="22" t="str">
        <f>'Trade indicators'!BQ28</f>
        <v/>
      </c>
      <c r="I22" s="21"/>
      <c r="K22" s="3"/>
      <c r="M22" s="21"/>
      <c r="N22" s="20"/>
      <c r="O22" s="21"/>
      <c r="P22" s="21"/>
      <c r="Q22" s="21"/>
      <c r="R22" s="22"/>
      <c r="S22" s="21"/>
      <c r="U22" s="3"/>
      <c r="W22" s="21"/>
      <c r="X22" s="20"/>
      <c r="Y22" s="21"/>
      <c r="Z22" s="21"/>
      <c r="AA22" s="21"/>
      <c r="AB22" s="22"/>
      <c r="AC22" s="21"/>
      <c r="AE22" s="3"/>
      <c r="AG22" s="21"/>
      <c r="AH22" s="20"/>
      <c r="AI22" s="21"/>
      <c r="AJ22" s="21"/>
      <c r="AK22" s="21"/>
      <c r="AL22" s="22"/>
      <c r="AM22" s="21"/>
      <c r="AO22" s="3"/>
      <c r="AQ22" s="21"/>
      <c r="AR22" s="20"/>
      <c r="AS22" s="21"/>
      <c r="AT22" s="21"/>
      <c r="AU22" s="21"/>
      <c r="AV22" s="22"/>
      <c r="AW22" s="21"/>
    </row>
    <row r="23" ht="14.25" customHeight="1">
      <c r="C23" s="21" t="str">
        <f>+'Trade indicators'!Z29</f>
        <v/>
      </c>
      <c r="D23" s="20" t="str">
        <f>'Trade indicators'!AI29</f>
        <v/>
      </c>
      <c r="E23" s="21" t="str">
        <f>+'Trade indicators'!AR29</f>
        <v/>
      </c>
      <c r="F23" s="21" t="str">
        <f>+'Trade indicators'!BA29</f>
        <v/>
      </c>
      <c r="G23" s="21" t="str">
        <f>+'Trade indicators'!BI29</f>
        <v/>
      </c>
      <c r="H23" s="22" t="str">
        <f>'Trade indicators'!BQ29</f>
        <v/>
      </c>
      <c r="I23" s="21"/>
      <c r="K23" s="3"/>
      <c r="M23" s="21"/>
      <c r="N23" s="20"/>
      <c r="O23" s="21"/>
      <c r="P23" s="21"/>
      <c r="Q23" s="21"/>
      <c r="R23" s="22"/>
      <c r="S23" s="21"/>
      <c r="U23" s="3"/>
      <c r="W23" s="21"/>
      <c r="X23" s="20"/>
      <c r="Y23" s="21"/>
      <c r="Z23" s="21"/>
      <c r="AA23" s="21"/>
      <c r="AB23" s="22"/>
      <c r="AC23" s="21"/>
      <c r="AE23" s="3"/>
      <c r="AG23" s="21"/>
      <c r="AH23" s="20"/>
      <c r="AI23" s="21"/>
      <c r="AJ23" s="21"/>
      <c r="AK23" s="21"/>
      <c r="AL23" s="22"/>
      <c r="AM23" s="21"/>
      <c r="AO23" s="3"/>
      <c r="AQ23" s="21"/>
      <c r="AR23" s="20"/>
      <c r="AS23" s="21"/>
      <c r="AT23" s="21"/>
      <c r="AU23" s="21"/>
      <c r="AV23" s="22"/>
      <c r="AW23" s="21"/>
    </row>
    <row r="24" ht="14.25" customHeight="1">
      <c r="B24" s="1" t="s">
        <v>47</v>
      </c>
      <c r="C24" s="31">
        <f t="shared" ref="C24:H24" si="1">SUM(C3:C23)</f>
        <v>55.34418949</v>
      </c>
      <c r="D24" s="31">
        <f t="shared" si="1"/>
        <v>0.2548705785</v>
      </c>
      <c r="E24" s="31">
        <f t="shared" si="1"/>
        <v>20.38059486</v>
      </c>
      <c r="F24" s="31">
        <f t="shared" si="1"/>
        <v>5.75997013</v>
      </c>
      <c r="G24" s="31">
        <f t="shared" si="1"/>
        <v>5.094475989</v>
      </c>
      <c r="H24" s="31">
        <f t="shared" si="1"/>
        <v>4.306</v>
      </c>
      <c r="I24" s="31"/>
      <c r="K24" s="3"/>
      <c r="L24" s="1" t="s">
        <v>47</v>
      </c>
      <c r="M24" s="31">
        <f t="shared" ref="M24:R24" si="2">SUM(M3:M23)</f>
        <v>61.39928754</v>
      </c>
      <c r="N24" s="31">
        <f t="shared" si="2"/>
        <v>0.2037761597</v>
      </c>
      <c r="O24" s="31">
        <f t="shared" si="2"/>
        <v>19.89637876</v>
      </c>
      <c r="P24" s="31">
        <f t="shared" si="2"/>
        <v>5.55423807</v>
      </c>
      <c r="Q24" s="31">
        <f t="shared" si="2"/>
        <v>4.763716742</v>
      </c>
      <c r="R24" s="31">
        <f t="shared" si="2"/>
        <v>4.264</v>
      </c>
      <c r="S24" s="31"/>
      <c r="U24" s="3"/>
      <c r="V24" s="1" t="s">
        <v>47</v>
      </c>
      <c r="W24" s="31">
        <f t="shared" ref="W24:AB24" si="3">SUM(W3:W23)</f>
        <v>53.92326323</v>
      </c>
      <c r="X24" s="31">
        <f t="shared" si="3"/>
        <v>2.189967974</v>
      </c>
      <c r="Y24" s="31">
        <f t="shared" si="3"/>
        <v>21.06370607</v>
      </c>
      <c r="Z24" s="31">
        <f t="shared" si="3"/>
        <v>6.362324346</v>
      </c>
      <c r="AA24" s="31">
        <f t="shared" si="3"/>
        <v>4.881395544</v>
      </c>
      <c r="AB24" s="31">
        <f t="shared" si="3"/>
        <v>4.218</v>
      </c>
      <c r="AC24" s="31"/>
      <c r="AE24" s="3"/>
      <c r="AF24" s="1" t="s">
        <v>47</v>
      </c>
      <c r="AG24" s="31">
        <f t="shared" ref="AG24:AL24" si="4">SUM(AG3:AG23)</f>
        <v>49.56148504</v>
      </c>
      <c r="AH24" s="31">
        <f t="shared" si="4"/>
        <v>-1.279327694</v>
      </c>
      <c r="AI24" s="31">
        <f t="shared" si="4"/>
        <v>21.04067939</v>
      </c>
      <c r="AJ24" s="31">
        <f t="shared" si="4"/>
        <v>7.742157075</v>
      </c>
      <c r="AK24" s="31">
        <f t="shared" si="4"/>
        <v>4.854037147</v>
      </c>
      <c r="AL24" s="31">
        <f t="shared" si="4"/>
        <v>4.189</v>
      </c>
      <c r="AM24" s="31"/>
      <c r="AO24" s="3"/>
      <c r="AP24" s="1" t="s">
        <v>47</v>
      </c>
      <c r="AQ24" s="31">
        <f t="shared" ref="AQ24:AV24" si="5">SUM(AQ3:AQ23)</f>
        <v>52.0045437</v>
      </c>
      <c r="AR24" s="31">
        <f t="shared" si="5"/>
        <v>0.08939811491</v>
      </c>
      <c r="AS24" s="31">
        <f t="shared" si="5"/>
        <v>21.06408698</v>
      </c>
      <c r="AT24" s="31">
        <f t="shared" si="5"/>
        <v>6.455190209</v>
      </c>
      <c r="AU24" s="31">
        <f t="shared" si="5"/>
        <v>4.973021256</v>
      </c>
      <c r="AV24" s="31">
        <f t="shared" si="5"/>
        <v>4.213</v>
      </c>
      <c r="AW24" s="31"/>
    </row>
    <row r="25" ht="14.25" customHeight="1">
      <c r="B25" s="1" t="s">
        <v>48</v>
      </c>
      <c r="C25" s="31">
        <f t="shared" ref="C25:H25" si="6">MIN(C3:C23)</f>
        <v>1.901098901</v>
      </c>
      <c r="D25" s="31">
        <f t="shared" si="6"/>
        <v>-0.1002825221</v>
      </c>
      <c r="E25" s="31">
        <f t="shared" si="6"/>
        <v>0.001205959637</v>
      </c>
      <c r="F25" s="31">
        <f t="shared" si="6"/>
        <v>0.03387242811</v>
      </c>
      <c r="G25" s="31">
        <f t="shared" si="6"/>
        <v>0.03983155809</v>
      </c>
      <c r="H25" s="31">
        <f t="shared" si="6"/>
        <v>0.219</v>
      </c>
      <c r="I25" s="31"/>
      <c r="K25" s="3"/>
      <c r="L25" s="1" t="s">
        <v>48</v>
      </c>
      <c r="M25" s="31">
        <f t="shared" ref="M25:R25" si="7">MIN(M3:M23)</f>
        <v>2.112840467</v>
      </c>
      <c r="N25" s="31">
        <f t="shared" si="7"/>
        <v>-0.2897290136</v>
      </c>
      <c r="O25" s="31">
        <f t="shared" si="7"/>
        <v>0.001037114763</v>
      </c>
      <c r="P25" s="31">
        <f t="shared" si="7"/>
        <v>0.02637382877</v>
      </c>
      <c r="Q25" s="31">
        <f t="shared" si="7"/>
        <v>0.03326442398</v>
      </c>
      <c r="R25" s="31">
        <f t="shared" si="7"/>
        <v>0.228</v>
      </c>
      <c r="S25" s="31"/>
      <c r="U25" s="3"/>
      <c r="V25" s="1" t="s">
        <v>48</v>
      </c>
      <c r="W25" s="31">
        <f t="shared" ref="W25:AB25" si="8">MIN(W3:W23)</f>
        <v>1.983050847</v>
      </c>
      <c r="X25" s="31">
        <f t="shared" si="8"/>
        <v>-0.1668379203</v>
      </c>
      <c r="Y25" s="31">
        <f t="shared" si="8"/>
        <v>0.001175717398</v>
      </c>
      <c r="Z25" s="31">
        <f t="shared" si="8"/>
        <v>0.03861283253</v>
      </c>
      <c r="AA25" s="31">
        <f t="shared" si="8"/>
        <v>0.0376344086</v>
      </c>
      <c r="AB25" s="31">
        <f t="shared" si="8"/>
        <v>0.232</v>
      </c>
      <c r="AC25" s="31"/>
      <c r="AE25" s="3"/>
      <c r="AF25" s="1" t="s">
        <v>48</v>
      </c>
      <c r="AG25" s="31">
        <f t="shared" ref="AG25:AL25" si="9">MIN(AG3:AG23)</f>
        <v>1.802816901</v>
      </c>
      <c r="AH25" s="31">
        <f t="shared" si="9"/>
        <v>-0.2865515646</v>
      </c>
      <c r="AI25" s="31">
        <f t="shared" si="9"/>
        <v>0.0009279579473</v>
      </c>
      <c r="AJ25" s="31">
        <f t="shared" si="9"/>
        <v>0.0392720671</v>
      </c>
      <c r="AK25" s="31">
        <f t="shared" si="9"/>
        <v>0.03504309736</v>
      </c>
      <c r="AL25" s="31">
        <f t="shared" si="9"/>
        <v>0.23</v>
      </c>
      <c r="AM25" s="31"/>
      <c r="AO25" s="3"/>
      <c r="AP25" s="1" t="s">
        <v>48</v>
      </c>
      <c r="AQ25" s="31">
        <f t="shared" ref="AQ25:AV25" si="10">MIN(AQ3:AQ23)</f>
        <v>1.958139535</v>
      </c>
      <c r="AR25" s="31">
        <f t="shared" si="10"/>
        <v>-0.1500459266</v>
      </c>
      <c r="AS25" s="31">
        <f t="shared" si="10"/>
        <v>0.0007530112451</v>
      </c>
      <c r="AT25" s="31">
        <f t="shared" si="10"/>
        <v>0.02565654281</v>
      </c>
      <c r="AU25" s="31">
        <f t="shared" si="10"/>
        <v>0.03415170392</v>
      </c>
      <c r="AV25" s="31">
        <f t="shared" si="10"/>
        <v>0.24</v>
      </c>
      <c r="AW25" s="31"/>
    </row>
    <row r="26" ht="14.25" customHeight="1">
      <c r="B26" s="1" t="s">
        <v>49</v>
      </c>
      <c r="C26" s="31">
        <f t="shared" ref="C26:H26" si="11">MAX(C3:C23)</f>
        <v>8.85005637</v>
      </c>
      <c r="D26" s="31">
        <f t="shared" si="11"/>
        <v>0.2584548191</v>
      </c>
      <c r="E26" s="31">
        <f t="shared" si="11"/>
        <v>7.578250356</v>
      </c>
      <c r="F26" s="31">
        <f t="shared" si="11"/>
        <v>2.140346265</v>
      </c>
      <c r="G26" s="31">
        <f t="shared" si="11"/>
        <v>0.8835400032</v>
      </c>
      <c r="H26" s="31">
        <f t="shared" si="11"/>
        <v>0.783</v>
      </c>
      <c r="I26" s="31"/>
      <c r="K26" s="3"/>
      <c r="L26" s="1" t="s">
        <v>49</v>
      </c>
      <c r="M26" s="31">
        <f t="shared" ref="M26:R26" si="12">MAX(M3:M23)</f>
        <v>9.24205379</v>
      </c>
      <c r="N26" s="31">
        <f t="shared" si="12"/>
        <v>0.2255866557</v>
      </c>
      <c r="O26" s="31">
        <f t="shared" si="12"/>
        <v>7.512498991</v>
      </c>
      <c r="P26" s="31">
        <f t="shared" si="12"/>
        <v>2.146346727</v>
      </c>
      <c r="Q26" s="31">
        <f t="shared" si="12"/>
        <v>0.8217371375</v>
      </c>
      <c r="R26" s="31">
        <f t="shared" si="12"/>
        <v>0.8</v>
      </c>
      <c r="S26" s="31"/>
      <c r="U26" s="3"/>
      <c r="V26" s="1" t="s">
        <v>49</v>
      </c>
      <c r="W26" s="31">
        <f t="shared" ref="W26:AB26" si="13">MAX(W3:W23)</f>
        <v>8.64698647</v>
      </c>
      <c r="X26" s="31">
        <f t="shared" si="13"/>
        <v>0.4959677419</v>
      </c>
      <c r="Y26" s="31">
        <f t="shared" si="13"/>
        <v>8.042005245</v>
      </c>
      <c r="Z26" s="31">
        <f t="shared" si="13"/>
        <v>2.561290809</v>
      </c>
      <c r="AA26" s="31">
        <f t="shared" si="13"/>
        <v>0.7672302922</v>
      </c>
      <c r="AB26" s="31">
        <f t="shared" si="13"/>
        <v>0.824</v>
      </c>
      <c r="AC26" s="31"/>
      <c r="AE26" s="3"/>
      <c r="AF26" s="1" t="s">
        <v>49</v>
      </c>
      <c r="AG26" s="31">
        <f t="shared" ref="AG26:AL26" si="14">MAX(AG3:AG23)</f>
        <v>8.20754717</v>
      </c>
      <c r="AH26" s="31">
        <f t="shared" si="14"/>
        <v>0.0643776824</v>
      </c>
      <c r="AI26" s="31">
        <f t="shared" si="14"/>
        <v>7.966200928</v>
      </c>
      <c r="AJ26" s="31">
        <f t="shared" si="14"/>
        <v>3.094646197</v>
      </c>
      <c r="AK26" s="31">
        <f t="shared" si="14"/>
        <v>0.7742493285</v>
      </c>
      <c r="AL26" s="31">
        <f t="shared" si="14"/>
        <v>0.793</v>
      </c>
      <c r="AM26" s="31"/>
      <c r="AO26" s="3"/>
      <c r="AP26" s="1" t="s">
        <v>49</v>
      </c>
      <c r="AQ26" s="31">
        <f t="shared" ref="AQ26:AV26" si="15">MAX(AQ3:AQ23)</f>
        <v>8.183079057</v>
      </c>
      <c r="AR26" s="31">
        <f t="shared" si="15"/>
        <v>0.2263157895</v>
      </c>
      <c r="AS26" s="31">
        <f t="shared" si="15"/>
        <v>7.584303406</v>
      </c>
      <c r="AT26" s="31">
        <f t="shared" si="15"/>
        <v>2.511283034</v>
      </c>
      <c r="AU26" s="31">
        <f t="shared" si="15"/>
        <v>0.7851787872</v>
      </c>
      <c r="AV26" s="31">
        <f t="shared" si="15"/>
        <v>0.793</v>
      </c>
      <c r="AW26" s="31"/>
    </row>
    <row r="27" ht="14.25" customHeight="1">
      <c r="C27" s="9"/>
      <c r="D27" s="9"/>
      <c r="E27" s="9"/>
      <c r="F27" s="9"/>
      <c r="G27" s="9"/>
      <c r="H27" s="16"/>
      <c r="I27" s="9"/>
      <c r="K27" s="3"/>
      <c r="M27" s="9"/>
      <c r="N27" s="9"/>
      <c r="O27" s="9"/>
      <c r="P27" s="9"/>
      <c r="Q27" s="9"/>
      <c r="R27" s="16"/>
      <c r="S27" s="9"/>
      <c r="U27" s="3"/>
      <c r="W27" s="9"/>
      <c r="X27" s="9"/>
      <c r="Y27" s="9"/>
      <c r="Z27" s="9"/>
      <c r="AA27" s="9"/>
      <c r="AB27" s="16"/>
      <c r="AC27" s="9"/>
      <c r="AE27" s="3"/>
      <c r="AG27" s="9"/>
      <c r="AH27" s="9"/>
      <c r="AI27" s="9"/>
      <c r="AJ27" s="9"/>
      <c r="AK27" s="9"/>
      <c r="AL27" s="16"/>
      <c r="AM27" s="9"/>
      <c r="AO27" s="3"/>
      <c r="AQ27" s="9"/>
      <c r="AR27" s="9"/>
      <c r="AS27" s="9"/>
      <c r="AT27" s="9"/>
      <c r="AU27" s="9"/>
      <c r="AV27" s="16"/>
      <c r="AW27" s="9"/>
    </row>
    <row r="28" ht="14.25" customHeight="1">
      <c r="B28" s="33" t="s">
        <v>50</v>
      </c>
      <c r="C28" s="9"/>
      <c r="D28" s="9"/>
      <c r="E28" s="9"/>
      <c r="F28" s="9"/>
      <c r="G28" s="9"/>
      <c r="H28" s="16"/>
      <c r="I28" s="9"/>
      <c r="K28" s="3"/>
      <c r="L28" s="33" t="s">
        <v>50</v>
      </c>
      <c r="M28" s="9"/>
      <c r="N28" s="9"/>
      <c r="O28" s="9"/>
      <c r="P28" s="9"/>
      <c r="Q28" s="9"/>
      <c r="R28" s="16"/>
      <c r="S28" s="9"/>
      <c r="U28" s="3"/>
      <c r="V28" s="33" t="s">
        <v>50</v>
      </c>
      <c r="W28" s="9"/>
      <c r="X28" s="9"/>
      <c r="Y28" s="9"/>
      <c r="Z28" s="9"/>
      <c r="AA28" s="9"/>
      <c r="AB28" s="16"/>
      <c r="AC28" s="9"/>
      <c r="AE28" s="3"/>
      <c r="AF28" s="33" t="s">
        <v>50</v>
      </c>
      <c r="AG28" s="9"/>
      <c r="AH28" s="9"/>
      <c r="AI28" s="9"/>
      <c r="AJ28" s="9"/>
      <c r="AK28" s="9"/>
      <c r="AL28" s="16"/>
      <c r="AM28" s="9"/>
      <c r="AO28" s="3"/>
      <c r="AP28" s="33" t="s">
        <v>50</v>
      </c>
      <c r="AQ28" s="9"/>
      <c r="AR28" s="9"/>
      <c r="AS28" s="9"/>
      <c r="AT28" s="9"/>
      <c r="AU28" s="9"/>
      <c r="AV28" s="16"/>
      <c r="AW28" s="9"/>
    </row>
    <row r="29" ht="14.25" customHeight="1">
      <c r="B29" s="1" t="s">
        <v>32</v>
      </c>
      <c r="C29" s="9" t="s">
        <v>33</v>
      </c>
      <c r="D29" s="9" t="s">
        <v>34</v>
      </c>
      <c r="E29" s="9" t="s">
        <v>35</v>
      </c>
      <c r="F29" s="9" t="s">
        <v>36</v>
      </c>
      <c r="G29" s="9" t="s">
        <v>37</v>
      </c>
      <c r="H29" s="16" t="s">
        <v>39</v>
      </c>
      <c r="I29" s="9"/>
      <c r="K29" s="3"/>
      <c r="L29" s="1" t="s">
        <v>32</v>
      </c>
      <c r="M29" s="9" t="s">
        <v>33</v>
      </c>
      <c r="N29" s="9" t="s">
        <v>34</v>
      </c>
      <c r="O29" s="9" t="s">
        <v>35</v>
      </c>
      <c r="P29" s="9" t="s">
        <v>36</v>
      </c>
      <c r="Q29" s="9" t="s">
        <v>37</v>
      </c>
      <c r="R29" s="16" t="s">
        <v>39</v>
      </c>
      <c r="S29" s="9"/>
      <c r="U29" s="3"/>
      <c r="V29" s="1" t="s">
        <v>32</v>
      </c>
      <c r="W29" s="9" t="s">
        <v>33</v>
      </c>
      <c r="X29" s="9" t="s">
        <v>34</v>
      </c>
      <c r="Y29" s="9" t="s">
        <v>35</v>
      </c>
      <c r="Z29" s="9" t="s">
        <v>36</v>
      </c>
      <c r="AA29" s="9" t="s">
        <v>37</v>
      </c>
      <c r="AB29" s="16" t="s">
        <v>39</v>
      </c>
      <c r="AC29" s="9"/>
      <c r="AE29" s="3"/>
      <c r="AF29" s="1" t="s">
        <v>32</v>
      </c>
      <c r="AG29" s="9" t="s">
        <v>33</v>
      </c>
      <c r="AH29" s="9" t="s">
        <v>34</v>
      </c>
      <c r="AI29" s="9" t="s">
        <v>35</v>
      </c>
      <c r="AJ29" s="9" t="s">
        <v>36</v>
      </c>
      <c r="AK29" s="9" t="s">
        <v>37</v>
      </c>
      <c r="AL29" s="16" t="s">
        <v>39</v>
      </c>
      <c r="AM29" s="9"/>
      <c r="AO29" s="3"/>
      <c r="AP29" s="1" t="s">
        <v>32</v>
      </c>
      <c r="AQ29" s="9" t="s">
        <v>33</v>
      </c>
      <c r="AR29" s="9" t="s">
        <v>34</v>
      </c>
      <c r="AS29" s="9" t="s">
        <v>35</v>
      </c>
      <c r="AT29" s="9" t="s">
        <v>36</v>
      </c>
      <c r="AU29" s="9" t="s">
        <v>37</v>
      </c>
      <c r="AV29" s="16" t="s">
        <v>39</v>
      </c>
      <c r="AW29" s="9"/>
    </row>
    <row r="30" ht="14.25" customHeight="1">
      <c r="B30" s="8" t="s">
        <v>9</v>
      </c>
      <c r="C30" s="31">
        <f t="shared" ref="C30:G30" si="16">(C3-C$25)/(C$26-C$25)</f>
        <v>0.5106216609</v>
      </c>
      <c r="D30" s="31">
        <f t="shared" si="16"/>
        <v>0.08726219291</v>
      </c>
      <c r="E30" s="31">
        <f t="shared" si="16"/>
        <v>0.006793186701</v>
      </c>
      <c r="F30" s="31">
        <f t="shared" si="16"/>
        <v>0.04183182938</v>
      </c>
      <c r="G30" s="31">
        <f t="shared" si="16"/>
        <v>0.2255953982</v>
      </c>
      <c r="H30" s="34">
        <f t="shared" ref="H30:H39" si="22">(H$26-H3)/(H$26-H$25)</f>
        <v>0.4822695035</v>
      </c>
      <c r="I30" s="9"/>
      <c r="K30" s="3"/>
      <c r="L30" s="8" t="s">
        <v>9</v>
      </c>
      <c r="M30" s="31">
        <f t="shared" ref="M30:Q30" si="17">(M3-M$25)/(M$26-M$25)</f>
        <v>0.6136563745</v>
      </c>
      <c r="N30" s="31">
        <f t="shared" si="17"/>
        <v>0.7265065905</v>
      </c>
      <c r="O30" s="31">
        <f t="shared" si="17"/>
        <v>0.007218303061</v>
      </c>
      <c r="P30" s="31">
        <f t="shared" si="17"/>
        <v>0.0444720711</v>
      </c>
      <c r="Q30" s="31">
        <f t="shared" si="17"/>
        <v>0.2391846155</v>
      </c>
      <c r="R30" s="34">
        <f t="shared" ref="R30:R39" si="24">(R$26-R3)/(R$26-R$25)</f>
        <v>0.493006993</v>
      </c>
      <c r="S30" s="9"/>
      <c r="U30" s="3"/>
      <c r="V30" s="8" t="s">
        <v>9</v>
      </c>
      <c r="W30" s="31">
        <f t="shared" ref="W30:AA30" si="18">(W3-W$25)/(W$26-W$25)</f>
        <v>0.5500598247</v>
      </c>
      <c r="X30" s="31">
        <f t="shared" si="18"/>
        <v>0.6507315301</v>
      </c>
      <c r="Y30" s="31">
        <f t="shared" si="18"/>
        <v>0.006707129626</v>
      </c>
      <c r="Z30" s="31">
        <f t="shared" si="18"/>
        <v>0.0372782506</v>
      </c>
      <c r="AA30" s="31">
        <f t="shared" si="18"/>
        <v>0.2794370563</v>
      </c>
      <c r="AB30" s="34">
        <f t="shared" ref="AB30:AB39" si="26">(AB$26-AB3)/(AB$26-AB$25)</f>
        <v>0.5101351351</v>
      </c>
      <c r="AC30" s="9"/>
      <c r="AE30" s="3"/>
      <c r="AF30" s="8" t="s">
        <v>9</v>
      </c>
      <c r="AG30" s="31">
        <f t="shared" ref="AG30:AK30" si="19">(AG3-AG$25)/(AG$26-AG$25)</f>
        <v>0.4869842675</v>
      </c>
      <c r="AH30" s="31">
        <f t="shared" si="19"/>
        <v>0.1035738827</v>
      </c>
      <c r="AI30" s="31">
        <f t="shared" si="19"/>
        <v>0.00634363783</v>
      </c>
      <c r="AJ30" s="31">
        <f t="shared" si="19"/>
        <v>0.03690747499</v>
      </c>
      <c r="AK30" s="31">
        <f t="shared" si="19"/>
        <v>0.2294761732</v>
      </c>
      <c r="AL30" s="34">
        <f t="shared" ref="AL30:AL39" si="28">(AL$26-AL3)/(AL$26-AL$25)</f>
        <v>0.4920071048</v>
      </c>
      <c r="AM30" s="9"/>
      <c r="AO30" s="3"/>
      <c r="AP30" s="8" t="s">
        <v>9</v>
      </c>
      <c r="AQ30" s="31">
        <f t="shared" ref="AQ30:AU30" si="20">(AQ3-AQ$25)/(AQ$26-AQ$25)</f>
        <v>0.5606723796</v>
      </c>
      <c r="AR30" s="31">
        <f t="shared" si="20"/>
        <v>0.6718695092</v>
      </c>
      <c r="AS30" s="31">
        <f t="shared" si="20"/>
        <v>0.007716910253</v>
      </c>
      <c r="AT30" s="31">
        <f t="shared" si="20"/>
        <v>0.04799970067</v>
      </c>
      <c r="AU30" s="31">
        <f t="shared" si="20"/>
        <v>0.2983398631</v>
      </c>
      <c r="AV30" s="34">
        <f t="shared" ref="AV30:AV39" si="30">(AV$26-AV3)/(AV$26-AV$25)</f>
        <v>0.4990958409</v>
      </c>
      <c r="AW30" s="9"/>
    </row>
    <row r="31" ht="14.25" customHeight="1">
      <c r="B31" s="8" t="s">
        <v>10</v>
      </c>
      <c r="C31" s="31">
        <f t="shared" ref="C31:G31" si="21">(C4-C$25)/(C$26-C$25)</f>
        <v>0.3971941578</v>
      </c>
      <c r="D31" s="31">
        <f t="shared" si="21"/>
        <v>0.5133336674</v>
      </c>
      <c r="E31" s="31">
        <f t="shared" si="21"/>
        <v>0.5283430848</v>
      </c>
      <c r="F31" s="31">
        <f t="shared" si="21"/>
        <v>0.551875441</v>
      </c>
      <c r="G31" s="31">
        <f t="shared" si="21"/>
        <v>1</v>
      </c>
      <c r="H31" s="34">
        <f t="shared" si="22"/>
        <v>0.7996453901</v>
      </c>
      <c r="I31" s="9"/>
      <c r="K31" s="3"/>
      <c r="L31" s="8" t="s">
        <v>10</v>
      </c>
      <c r="M31" s="31">
        <f t="shared" ref="M31:Q31" si="23">(M4-M$25)/(M$26-M$25)</f>
        <v>0.4286902556</v>
      </c>
      <c r="N31" s="31">
        <f t="shared" si="23"/>
        <v>1</v>
      </c>
      <c r="O31" s="31">
        <f t="shared" si="23"/>
        <v>0.4802166544</v>
      </c>
      <c r="P31" s="31">
        <f t="shared" si="23"/>
        <v>0.5060830649</v>
      </c>
      <c r="Q31" s="31">
        <f t="shared" si="23"/>
        <v>1</v>
      </c>
      <c r="R31" s="34">
        <f t="shared" si="24"/>
        <v>0.8234265734</v>
      </c>
      <c r="S31" s="9"/>
      <c r="U31" s="3"/>
      <c r="V31" s="8" t="s">
        <v>10</v>
      </c>
      <c r="W31" s="31">
        <f t="shared" ref="W31:AA31" si="25">(W4-W$25)/(W$26-W$25)</f>
        <v>0.3619812014</v>
      </c>
      <c r="X31" s="31">
        <f t="shared" si="25"/>
        <v>0.4679129697</v>
      </c>
      <c r="Y31" s="31">
        <f t="shared" si="25"/>
        <v>0.3959011548</v>
      </c>
      <c r="Z31" s="31">
        <f t="shared" si="25"/>
        <v>0.4080495594</v>
      </c>
      <c r="AA31" s="31">
        <f t="shared" si="25"/>
        <v>1</v>
      </c>
      <c r="AB31" s="34">
        <f t="shared" si="26"/>
        <v>0.8344594595</v>
      </c>
      <c r="AC31" s="9"/>
      <c r="AE31" s="3"/>
      <c r="AF31" s="8" t="s">
        <v>10</v>
      </c>
      <c r="AG31" s="31">
        <f t="shared" ref="AG31:AK31" si="27">(AG4-AG$25)/(AG$26-AG$25)</f>
        <v>0.3483589893</v>
      </c>
      <c r="AH31" s="31">
        <f t="shared" si="27"/>
        <v>0.3319173621</v>
      </c>
      <c r="AI31" s="31">
        <f t="shared" si="27"/>
        <v>0.412774745</v>
      </c>
      <c r="AJ31" s="31">
        <f t="shared" si="27"/>
        <v>0.4147216672</v>
      </c>
      <c r="AK31" s="31">
        <f t="shared" si="27"/>
        <v>1</v>
      </c>
      <c r="AL31" s="34">
        <f t="shared" si="28"/>
        <v>0.8134991119</v>
      </c>
      <c r="AM31" s="9"/>
      <c r="AO31" s="3"/>
      <c r="AP31" s="8" t="s">
        <v>10</v>
      </c>
      <c r="AQ31" s="31">
        <f t="shared" ref="AQ31:AU31" si="29">(AQ4-AQ$25)/(AQ$26-AQ$25)</f>
        <v>0.3909759843</v>
      </c>
      <c r="AR31" s="31">
        <f t="shared" si="29"/>
        <v>0.3812652716</v>
      </c>
      <c r="AS31" s="31">
        <f t="shared" si="29"/>
        <v>0.4512287266</v>
      </c>
      <c r="AT31" s="31">
        <f t="shared" si="29"/>
        <v>0.4308586868</v>
      </c>
      <c r="AU31" s="31">
        <f t="shared" si="29"/>
        <v>1</v>
      </c>
      <c r="AV31" s="34">
        <f t="shared" si="30"/>
        <v>0.8318264014</v>
      </c>
      <c r="AW31" s="9"/>
    </row>
    <row r="32" ht="14.25" customHeight="1">
      <c r="B32" s="8" t="s">
        <v>13</v>
      </c>
      <c r="C32" s="31">
        <f t="shared" ref="C32:G32" si="31">(C5-C$25)/(C$26-C$25)</f>
        <v>0.7492525952</v>
      </c>
      <c r="D32" s="31">
        <f t="shared" si="31"/>
        <v>0.2407692146</v>
      </c>
      <c r="E32" s="31">
        <f t="shared" si="31"/>
        <v>0.5403707232</v>
      </c>
      <c r="F32" s="31">
        <f t="shared" si="31"/>
        <v>0.2026044985</v>
      </c>
      <c r="G32" s="31">
        <f t="shared" si="31"/>
        <v>0.8748873857</v>
      </c>
      <c r="H32" s="34">
        <f t="shared" si="22"/>
        <v>0.8120567376</v>
      </c>
      <c r="I32" s="9"/>
      <c r="K32" s="3"/>
      <c r="L32" s="8" t="s">
        <v>13</v>
      </c>
      <c r="M32" s="31">
        <f t="shared" ref="M32:Q32" si="32">(M5-M$25)/(M$26-M$25)</f>
        <v>0.8312803883</v>
      </c>
      <c r="N32" s="31">
        <f t="shared" si="32"/>
        <v>0.6389031043</v>
      </c>
      <c r="O32" s="31">
        <f t="shared" si="32"/>
        <v>0.5398636998</v>
      </c>
      <c r="P32" s="31">
        <f t="shared" si="32"/>
        <v>0.2007182732</v>
      </c>
      <c r="Q32" s="31">
        <f t="shared" si="32"/>
        <v>0.8656618366</v>
      </c>
      <c r="R32" s="34">
        <f t="shared" si="24"/>
        <v>0.8688811189</v>
      </c>
      <c r="S32" s="9"/>
      <c r="U32" s="3"/>
      <c r="V32" s="8" t="s">
        <v>13</v>
      </c>
      <c r="W32" s="31">
        <f t="shared" ref="W32:AA32" si="33">(W5-W$25)/(W$26-W$25)</f>
        <v>0.7752898821</v>
      </c>
      <c r="X32" s="31">
        <f t="shared" si="33"/>
        <v>0.4903399819</v>
      </c>
      <c r="Y32" s="31">
        <f t="shared" si="33"/>
        <v>0.5247779135</v>
      </c>
      <c r="Z32" s="31">
        <f t="shared" si="33"/>
        <v>0.1848489609</v>
      </c>
      <c r="AA32" s="31">
        <f t="shared" si="33"/>
        <v>0.9747821747</v>
      </c>
      <c r="AB32" s="34">
        <f t="shared" si="26"/>
        <v>0.8969594595</v>
      </c>
      <c r="AC32" s="9"/>
      <c r="AE32" s="3"/>
      <c r="AF32" s="8" t="s">
        <v>13</v>
      </c>
      <c r="AG32" s="31">
        <f t="shared" ref="AG32:AK32" si="34">(AG5-AG$25)/(AG$26-AG$25)</f>
        <v>0.7460360955</v>
      </c>
      <c r="AH32" s="31">
        <f t="shared" si="34"/>
        <v>0.6047727948</v>
      </c>
      <c r="AI32" s="31">
        <f t="shared" si="34"/>
        <v>0.5401088058</v>
      </c>
      <c r="AJ32" s="31">
        <f t="shared" si="34"/>
        <v>0.1835534348</v>
      </c>
      <c r="AK32" s="31">
        <f t="shared" si="34"/>
        <v>0.9484595786</v>
      </c>
      <c r="AL32" s="34">
        <f t="shared" si="28"/>
        <v>0.8685612789</v>
      </c>
      <c r="AM32" s="9"/>
      <c r="AO32" s="3"/>
      <c r="AP32" s="8" t="s">
        <v>13</v>
      </c>
      <c r="AQ32" s="31">
        <f t="shared" ref="AQ32:AU32" si="35">(AQ5-AQ$25)/(AQ$26-AQ$25)</f>
        <v>0.8128360614</v>
      </c>
      <c r="AR32" s="31">
        <f t="shared" si="35"/>
        <v>0.4136550574</v>
      </c>
      <c r="AS32" s="31">
        <f t="shared" si="35"/>
        <v>0.5293332509</v>
      </c>
      <c r="AT32" s="31">
        <f t="shared" si="35"/>
        <v>0.1827962869</v>
      </c>
      <c r="AU32" s="31">
        <f t="shared" si="35"/>
        <v>0.9512364099</v>
      </c>
      <c r="AV32" s="34">
        <f t="shared" si="30"/>
        <v>0.8716094033</v>
      </c>
      <c r="AW32" s="9"/>
    </row>
    <row r="33" ht="14.25" customHeight="1">
      <c r="B33" s="8" t="s">
        <v>14</v>
      </c>
      <c r="C33" s="31">
        <f t="shared" ref="C33:G33" si="36">(C6-C$25)/(C$26-C$25)</f>
        <v>0.4969673124</v>
      </c>
      <c r="D33" s="31">
        <f t="shared" si="36"/>
        <v>0.6575165598</v>
      </c>
      <c r="E33" s="31">
        <f t="shared" si="36"/>
        <v>0</v>
      </c>
      <c r="F33" s="31">
        <f t="shared" si="36"/>
        <v>0</v>
      </c>
      <c r="G33" s="31">
        <f t="shared" si="36"/>
        <v>0</v>
      </c>
      <c r="H33" s="34">
        <f t="shared" si="22"/>
        <v>0</v>
      </c>
      <c r="I33" s="9"/>
      <c r="K33" s="3"/>
      <c r="L33" s="8" t="s">
        <v>14</v>
      </c>
      <c r="M33" s="31">
        <f t="shared" ref="M33:Q33" si="37">(M6-M$25)/(M$26-M$25)</f>
        <v>0.554615319</v>
      </c>
      <c r="N33" s="31">
        <f t="shared" si="37"/>
        <v>0.473315534</v>
      </c>
      <c r="O33" s="31">
        <f t="shared" si="37"/>
        <v>0</v>
      </c>
      <c r="P33" s="31">
        <f t="shared" si="37"/>
        <v>0</v>
      </c>
      <c r="Q33" s="31">
        <f t="shared" si="37"/>
        <v>0</v>
      </c>
      <c r="R33" s="34">
        <f t="shared" si="24"/>
        <v>0</v>
      </c>
      <c r="S33" s="9"/>
      <c r="U33" s="3"/>
      <c r="V33" s="8" t="s">
        <v>14</v>
      </c>
      <c r="W33" s="31">
        <f t="shared" ref="W33:AA33" si="38">(W6-W$25)/(W$26-W$25)</f>
        <v>0.5120381679</v>
      </c>
      <c r="X33" s="31">
        <f t="shared" si="38"/>
        <v>1</v>
      </c>
      <c r="Y33" s="31">
        <f t="shared" si="38"/>
        <v>0</v>
      </c>
      <c r="Z33" s="31">
        <f t="shared" si="38"/>
        <v>0</v>
      </c>
      <c r="AA33" s="31">
        <f t="shared" si="38"/>
        <v>0</v>
      </c>
      <c r="AB33" s="34">
        <f t="shared" si="26"/>
        <v>0</v>
      </c>
      <c r="AC33" s="9"/>
      <c r="AE33" s="3"/>
      <c r="AF33" s="8" t="s">
        <v>14</v>
      </c>
      <c r="AG33" s="31">
        <f t="shared" ref="AG33:AK33" si="39">(AG6-AG$25)/(AG$26-AG$25)</f>
        <v>0.461392959</v>
      </c>
      <c r="AH33" s="31">
        <f t="shared" si="39"/>
        <v>1</v>
      </c>
      <c r="AI33" s="31">
        <f t="shared" si="39"/>
        <v>0</v>
      </c>
      <c r="AJ33" s="31">
        <f t="shared" si="39"/>
        <v>0</v>
      </c>
      <c r="AK33" s="31">
        <f t="shared" si="39"/>
        <v>0</v>
      </c>
      <c r="AL33" s="34">
        <f t="shared" si="28"/>
        <v>0</v>
      </c>
      <c r="AM33" s="9"/>
      <c r="AO33" s="3"/>
      <c r="AP33" s="8" t="s">
        <v>14</v>
      </c>
      <c r="AQ33" s="31">
        <f t="shared" ref="AQ33:AU33" si="40">(AQ6-AQ$25)/(AQ$26-AQ$25)</f>
        <v>0.4533650764</v>
      </c>
      <c r="AR33" s="31">
        <f t="shared" si="40"/>
        <v>1</v>
      </c>
      <c r="AS33" s="31">
        <f t="shared" si="40"/>
        <v>0</v>
      </c>
      <c r="AT33" s="31">
        <f t="shared" si="40"/>
        <v>0</v>
      </c>
      <c r="AU33" s="31">
        <f t="shared" si="40"/>
        <v>0</v>
      </c>
      <c r="AV33" s="34">
        <f t="shared" si="30"/>
        <v>0</v>
      </c>
      <c r="AW33" s="9"/>
    </row>
    <row r="34" ht="14.25" customHeight="1">
      <c r="B34" s="8" t="s">
        <v>16</v>
      </c>
      <c r="C34" s="31">
        <f t="shared" ref="C34:G34" si="41">(C7-C$25)/(C$26-C$25)</f>
        <v>0.5763066925</v>
      </c>
      <c r="D34" s="31">
        <f t="shared" si="41"/>
        <v>0.2381414859</v>
      </c>
      <c r="E34" s="31">
        <f t="shared" si="41"/>
        <v>1</v>
      </c>
      <c r="F34" s="31">
        <f t="shared" si="41"/>
        <v>1</v>
      </c>
      <c r="G34" s="31">
        <f t="shared" si="41"/>
        <v>0.6335295626</v>
      </c>
      <c r="H34" s="34">
        <f t="shared" si="22"/>
        <v>0.7393617021</v>
      </c>
      <c r="I34" s="9"/>
      <c r="K34" s="3"/>
      <c r="L34" s="8" t="s">
        <v>16</v>
      </c>
      <c r="M34" s="31">
        <f t="shared" ref="M34:Q34" si="42">(M7-M$25)/(M$26-M$25)</f>
        <v>0.630088816</v>
      </c>
      <c r="N34" s="31">
        <f t="shared" si="42"/>
        <v>0.5825632532</v>
      </c>
      <c r="O34" s="31">
        <f t="shared" si="42"/>
        <v>1</v>
      </c>
      <c r="P34" s="31">
        <f t="shared" si="42"/>
        <v>1</v>
      </c>
      <c r="Q34" s="31">
        <f t="shared" si="42"/>
        <v>0.6722598452</v>
      </c>
      <c r="R34" s="34">
        <f t="shared" si="24"/>
        <v>0.7814685315</v>
      </c>
      <c r="S34" s="9"/>
      <c r="U34" s="3"/>
      <c r="V34" s="8" t="s">
        <v>16</v>
      </c>
      <c r="W34" s="31">
        <f t="shared" ref="W34:AA34" si="43">(W7-W$25)/(W$26-W$25)</f>
        <v>0.5249796565</v>
      </c>
      <c r="X34" s="31">
        <f t="shared" si="43"/>
        <v>0.5413278413</v>
      </c>
      <c r="Y34" s="31">
        <f t="shared" si="43"/>
        <v>1</v>
      </c>
      <c r="Z34" s="31">
        <f t="shared" si="43"/>
        <v>1</v>
      </c>
      <c r="AA34" s="31">
        <f t="shared" si="43"/>
        <v>0.648970172</v>
      </c>
      <c r="AB34" s="34">
        <f t="shared" si="26"/>
        <v>0.8091216216</v>
      </c>
      <c r="AC34" s="9"/>
      <c r="AE34" s="3"/>
      <c r="AF34" s="8" t="s">
        <v>16</v>
      </c>
      <c r="AG34" s="31">
        <f t="shared" ref="AG34:AK34" si="44">(AG7-AG$25)/(AG$26-AG$25)</f>
        <v>0.4786468786</v>
      </c>
      <c r="AH34" s="31">
        <f t="shared" si="44"/>
        <v>0.5521186367</v>
      </c>
      <c r="AI34" s="31">
        <f t="shared" si="44"/>
        <v>1</v>
      </c>
      <c r="AJ34" s="31">
        <f t="shared" si="44"/>
        <v>1</v>
      </c>
      <c r="AK34" s="31">
        <f t="shared" si="44"/>
        <v>0.6599589408</v>
      </c>
      <c r="AL34" s="34">
        <f t="shared" si="28"/>
        <v>0.7779751332</v>
      </c>
      <c r="AM34" s="9"/>
      <c r="AO34" s="3"/>
      <c r="AP34" s="8" t="s">
        <v>16</v>
      </c>
      <c r="AQ34" s="31">
        <f t="shared" ref="AQ34:AU34" si="45">(AQ7-AQ$25)/(AQ$26-AQ$25)</f>
        <v>0.4950508273</v>
      </c>
      <c r="AR34" s="31">
        <f t="shared" si="45"/>
        <v>0.4410573857</v>
      </c>
      <c r="AS34" s="31">
        <f t="shared" si="45"/>
        <v>1</v>
      </c>
      <c r="AT34" s="31">
        <f t="shared" si="45"/>
        <v>1</v>
      </c>
      <c r="AU34" s="31">
        <f t="shared" si="45"/>
        <v>0.7172754698</v>
      </c>
      <c r="AV34" s="34">
        <f t="shared" si="30"/>
        <v>0.7884267631</v>
      </c>
      <c r="AW34" s="9"/>
    </row>
    <row r="35" ht="14.25" customHeight="1">
      <c r="B35" s="8" t="s">
        <v>17</v>
      </c>
      <c r="C35" s="31">
        <f t="shared" ref="C35:G35" si="46">(C8-C$25)/(C$26-C$25)</f>
        <v>0.5259999238</v>
      </c>
      <c r="D35" s="31">
        <f t="shared" si="46"/>
        <v>0.4398332659</v>
      </c>
      <c r="E35" s="31">
        <f t="shared" si="46"/>
        <v>0.1657726804</v>
      </c>
      <c r="F35" s="31">
        <f t="shared" si="46"/>
        <v>0.2556438198</v>
      </c>
      <c r="G35" s="31">
        <f t="shared" si="46"/>
        <v>0.8514864791</v>
      </c>
      <c r="H35" s="34">
        <f t="shared" si="22"/>
        <v>0.7606382979</v>
      </c>
      <c r="I35" s="9"/>
      <c r="K35" s="3"/>
      <c r="L35" s="8" t="s">
        <v>17</v>
      </c>
      <c r="M35" s="31">
        <f t="shared" ref="M35:Q35" si="47">(M8-M$25)/(M$26-M$25)</f>
        <v>0.6153777892</v>
      </c>
      <c r="N35" s="31">
        <f t="shared" si="47"/>
        <v>0.6688793582</v>
      </c>
      <c r="O35" s="31">
        <f t="shared" si="47"/>
        <v>0.1544374408</v>
      </c>
      <c r="P35" s="31">
        <f t="shared" si="47"/>
        <v>0.2307628795</v>
      </c>
      <c r="Q35" s="31">
        <f t="shared" si="47"/>
        <v>0.8528222676</v>
      </c>
      <c r="R35" s="34">
        <f t="shared" si="24"/>
        <v>0.777972028</v>
      </c>
      <c r="S35" s="9"/>
      <c r="U35" s="3"/>
      <c r="V35" s="8" t="s">
        <v>17</v>
      </c>
      <c r="W35" s="31">
        <f t="shared" ref="W35:AA35" si="48">(W8-W$25)/(W$26-W$25)</f>
        <v>0.5489741603</v>
      </c>
      <c r="X35" s="31">
        <f t="shared" si="48"/>
        <v>0.6636966746</v>
      </c>
      <c r="Y35" s="31">
        <f t="shared" si="48"/>
        <v>0.147913136</v>
      </c>
      <c r="Z35" s="31">
        <f t="shared" si="48"/>
        <v>0.2208851101</v>
      </c>
      <c r="AA35" s="31">
        <f t="shared" si="48"/>
        <v>0.9839069628</v>
      </c>
      <c r="AB35" s="34">
        <f t="shared" si="26"/>
        <v>0.7871621622</v>
      </c>
      <c r="AC35" s="9"/>
      <c r="AE35" s="3"/>
      <c r="AF35" s="8" t="s">
        <v>17</v>
      </c>
      <c r="AG35" s="31">
        <f t="shared" ref="AG35:AK35" si="49">(AG8-AG$25)/(AG$26-AG$25)</f>
        <v>0.5016305081</v>
      </c>
      <c r="AH35" s="31">
        <f t="shared" si="49"/>
        <v>0.113288229</v>
      </c>
      <c r="AI35" s="31">
        <f t="shared" si="49"/>
        <v>0.138505891</v>
      </c>
      <c r="AJ35" s="31">
        <f t="shared" si="49"/>
        <v>0.2116770654</v>
      </c>
      <c r="AK35" s="31">
        <f t="shared" si="49"/>
        <v>0.9271023748</v>
      </c>
      <c r="AL35" s="34">
        <f t="shared" si="28"/>
        <v>0.8010657194</v>
      </c>
      <c r="AM35" s="9"/>
      <c r="AO35" s="3"/>
      <c r="AP35" s="8" t="s">
        <v>17</v>
      </c>
      <c r="AQ35" s="31">
        <f t="shared" ref="AQ35:AU35" si="50">(AQ8-AQ$25)/(AQ$26-AQ$25)</f>
        <v>0.508304155</v>
      </c>
      <c r="AR35" s="31">
        <f t="shared" si="50"/>
        <v>0.09868437532</v>
      </c>
      <c r="AS35" s="31">
        <f t="shared" si="50"/>
        <v>0.1668626294</v>
      </c>
      <c r="AT35" s="31">
        <f t="shared" si="50"/>
        <v>0.2589471198</v>
      </c>
      <c r="AU35" s="31">
        <f t="shared" si="50"/>
        <v>0.9328033031</v>
      </c>
      <c r="AV35" s="34">
        <f t="shared" si="30"/>
        <v>0.8173598553</v>
      </c>
      <c r="AW35" s="9"/>
    </row>
    <row r="36" ht="14.25" customHeight="1">
      <c r="B36" s="8" t="s">
        <v>18</v>
      </c>
      <c r="C36" s="31">
        <f t="shared" ref="C36:G36" si="51">(C9-C$25)/(C$26-C$25)</f>
        <v>0.6801048595</v>
      </c>
      <c r="D36" s="31">
        <f t="shared" si="51"/>
        <v>0.3251799858</v>
      </c>
      <c r="E36" s="31">
        <f t="shared" si="51"/>
        <v>0.08168927763</v>
      </c>
      <c r="F36" s="31">
        <f t="shared" si="51"/>
        <v>0.2682302288</v>
      </c>
      <c r="G36" s="31">
        <f t="shared" si="51"/>
        <v>0.8981221846</v>
      </c>
      <c r="H36" s="34">
        <f t="shared" si="22"/>
        <v>0.7322695035</v>
      </c>
      <c r="I36" s="9"/>
      <c r="K36" s="3"/>
      <c r="L36" s="8" t="s">
        <v>18</v>
      </c>
      <c r="M36" s="31">
        <f t="shared" ref="M36:Q36" si="52">(M9-M$25)/(M$26-M$25)</f>
        <v>0.6553695765</v>
      </c>
      <c r="N36" s="31">
        <f t="shared" si="52"/>
        <v>0.7142510354</v>
      </c>
      <c r="O36" s="31">
        <f t="shared" si="52"/>
        <v>0.07919422723</v>
      </c>
      <c r="P36" s="31">
        <f t="shared" si="52"/>
        <v>0.2548476085</v>
      </c>
      <c r="Q36" s="31">
        <f t="shared" si="52"/>
        <v>0.8992800693</v>
      </c>
      <c r="R36" s="34">
        <f t="shared" si="24"/>
        <v>0.7814685315</v>
      </c>
      <c r="S36" s="9"/>
      <c r="U36" s="3"/>
      <c r="V36" s="8" t="s">
        <v>18</v>
      </c>
      <c r="W36" s="31">
        <f t="shared" ref="W36:AA36" si="53">(W9-W$25)/(W$26-W$25)</f>
        <v>0.5863763358</v>
      </c>
      <c r="X36" s="31">
        <f t="shared" si="53"/>
        <v>0.6080507552</v>
      </c>
      <c r="Y36" s="31">
        <f t="shared" si="53"/>
        <v>0.0741942222</v>
      </c>
      <c r="Z36" s="31">
        <f t="shared" si="53"/>
        <v>0.2293665855</v>
      </c>
      <c r="AA36" s="31">
        <f t="shared" si="53"/>
        <v>0.955325354</v>
      </c>
      <c r="AB36" s="34">
        <f t="shared" si="26"/>
        <v>0.8057432432</v>
      </c>
      <c r="AC36" s="9"/>
      <c r="AE36" s="3"/>
      <c r="AF36" s="8" t="s">
        <v>18</v>
      </c>
      <c r="AG36" s="31">
        <f t="shared" ref="AG36:AK36" si="54">(AG9-AG$25)/(AG$26-AG$25)</f>
        <v>0.5862495029</v>
      </c>
      <c r="AH36" s="31">
        <f t="shared" si="54"/>
        <v>0.8393094887</v>
      </c>
      <c r="AI36" s="31">
        <f t="shared" si="54"/>
        <v>0.07156228523</v>
      </c>
      <c r="AJ36" s="31">
        <f t="shared" si="54"/>
        <v>0.2208448325</v>
      </c>
      <c r="AK36" s="31">
        <f t="shared" si="54"/>
        <v>0.9699457521</v>
      </c>
      <c r="AL36" s="34">
        <f t="shared" si="28"/>
        <v>0.7797513321</v>
      </c>
      <c r="AM36" s="9"/>
      <c r="AO36" s="3"/>
      <c r="AP36" s="8" t="s">
        <v>18</v>
      </c>
      <c r="AQ36" s="31">
        <f t="shared" ref="AQ36:AU36" si="55">(AQ9-AQ$25)/(AQ$26-AQ$25)</f>
        <v>0.6480978352</v>
      </c>
      <c r="AR36" s="31">
        <f t="shared" si="55"/>
        <v>0.7467779033</v>
      </c>
      <c r="AS36" s="31">
        <f t="shared" si="55"/>
        <v>0.06441156855</v>
      </c>
      <c r="AT36" s="31">
        <f t="shared" si="55"/>
        <v>0.2074519884</v>
      </c>
      <c r="AU36" s="31">
        <f t="shared" si="55"/>
        <v>0.8816078971</v>
      </c>
      <c r="AV36" s="34">
        <f t="shared" si="30"/>
        <v>0.7811934901</v>
      </c>
      <c r="AW36" s="9"/>
    </row>
    <row r="37" ht="14.25" customHeight="1">
      <c r="B37" s="8" t="s">
        <v>19</v>
      </c>
      <c r="C37" s="31">
        <f t="shared" ref="C37:G37" si="56">(C10-C$25)/(C$26-C$25)</f>
        <v>1</v>
      </c>
      <c r="D37" s="31">
        <f t="shared" si="56"/>
        <v>1</v>
      </c>
      <c r="E37" s="31">
        <f t="shared" si="56"/>
        <v>0.04204981776</v>
      </c>
      <c r="F37" s="31">
        <f t="shared" si="56"/>
        <v>0.05303973766</v>
      </c>
      <c r="G37" s="31">
        <f t="shared" si="56"/>
        <v>0.4484799002</v>
      </c>
      <c r="H37" s="34">
        <f t="shared" si="22"/>
        <v>0.1932624113</v>
      </c>
      <c r="I37" s="9"/>
      <c r="K37" s="3"/>
      <c r="L37" s="8" t="s">
        <v>19</v>
      </c>
      <c r="M37" s="31">
        <f t="shared" ref="M37:Q37" si="57">(M10-M$25)/(M$26-M$25)</f>
        <v>1</v>
      </c>
      <c r="N37" s="31">
        <f t="shared" si="57"/>
        <v>0.4391945187</v>
      </c>
      <c r="O37" s="31">
        <f t="shared" si="57"/>
        <v>0.0329034022</v>
      </c>
      <c r="P37" s="31">
        <f t="shared" si="57"/>
        <v>0.04266479103</v>
      </c>
      <c r="Q37" s="31">
        <f t="shared" si="57"/>
        <v>0.4063879472</v>
      </c>
      <c r="R37" s="34">
        <f t="shared" si="24"/>
        <v>0.2447552448</v>
      </c>
      <c r="S37" s="9"/>
      <c r="U37" s="3"/>
      <c r="V37" s="8" t="s">
        <v>19</v>
      </c>
      <c r="W37" s="31">
        <f t="shared" ref="W37:AA37" si="58">(W10-W$25)/(W$26-W$25)</f>
        <v>1</v>
      </c>
      <c r="X37" s="31">
        <f t="shared" si="58"/>
        <v>0.4909861465</v>
      </c>
      <c r="Y37" s="31">
        <f t="shared" si="58"/>
        <v>0.03550191148</v>
      </c>
      <c r="Z37" s="31">
        <f t="shared" si="58"/>
        <v>0.04335714231</v>
      </c>
      <c r="AA37" s="31">
        <f t="shared" si="58"/>
        <v>0.4615496579</v>
      </c>
      <c r="AB37" s="34">
        <f t="shared" si="26"/>
        <v>0.3040540541</v>
      </c>
      <c r="AC37" s="9"/>
      <c r="AE37" s="3"/>
      <c r="AF37" s="8" t="s">
        <v>19</v>
      </c>
      <c r="AG37" s="31">
        <f t="shared" ref="AG37:AK37" si="59">(AG10-AG$25)/(AG$26-AG$25)</f>
        <v>1</v>
      </c>
      <c r="AH37" s="31">
        <f t="shared" si="59"/>
        <v>0.6562334658</v>
      </c>
      <c r="AI37" s="31">
        <f t="shared" si="59"/>
        <v>0.03655718599</v>
      </c>
      <c r="AJ37" s="31">
        <f t="shared" si="59"/>
        <v>0.04524446167</v>
      </c>
      <c r="AK37" s="31">
        <f t="shared" si="59"/>
        <v>0.4595974161</v>
      </c>
      <c r="AL37" s="34">
        <f t="shared" si="28"/>
        <v>0.2717584369</v>
      </c>
      <c r="AM37" s="9"/>
      <c r="AO37" s="3"/>
      <c r="AP37" s="8" t="s">
        <v>19</v>
      </c>
      <c r="AQ37" s="31">
        <f t="shared" ref="AQ37:AU37" si="60">(AQ10-AQ$25)/(AQ$26-AQ$25)</f>
        <v>1</v>
      </c>
      <c r="AR37" s="31">
        <f t="shared" si="60"/>
        <v>0.2935428513</v>
      </c>
      <c r="AS37" s="31">
        <f t="shared" si="60"/>
        <v>0.03515396105</v>
      </c>
      <c r="AT37" s="31">
        <f t="shared" si="60"/>
        <v>0.050697523</v>
      </c>
      <c r="AU37" s="31">
        <f t="shared" si="60"/>
        <v>0.4669896805</v>
      </c>
      <c r="AV37" s="34">
        <f t="shared" si="30"/>
        <v>0.2839059675</v>
      </c>
      <c r="AW37" s="9"/>
    </row>
    <row r="38" ht="14.25" customHeight="1">
      <c r="B38" s="8" t="s">
        <v>20</v>
      </c>
      <c r="C38" s="31">
        <f t="shared" ref="C38:G38" si="61">(C11-C$25)/(C$26-C$25)</f>
        <v>0.2921357387</v>
      </c>
      <c r="D38" s="31">
        <f t="shared" si="61"/>
        <v>0</v>
      </c>
      <c r="E38" s="31">
        <f t="shared" si="61"/>
        <v>0.1247902616</v>
      </c>
      <c r="F38" s="31">
        <f t="shared" si="61"/>
        <v>0.148866702</v>
      </c>
      <c r="G38" s="31">
        <f t="shared" si="61"/>
        <v>0.4502789737</v>
      </c>
      <c r="H38" s="34">
        <f t="shared" si="22"/>
        <v>0.7287234043</v>
      </c>
      <c r="I38" s="9"/>
      <c r="K38" s="3"/>
      <c r="L38" s="8" t="s">
        <v>20</v>
      </c>
      <c r="M38" s="31">
        <f t="shared" ref="M38:Q38" si="62">(M11-M$25)/(M$26-M$25)</f>
        <v>0.3196348868</v>
      </c>
      <c r="N38" s="31">
        <f t="shared" si="62"/>
        <v>0.7741859484</v>
      </c>
      <c r="O38" s="31">
        <f t="shared" si="62"/>
        <v>0.1366727004</v>
      </c>
      <c r="P38" s="31">
        <f t="shared" si="62"/>
        <v>0.1581524852</v>
      </c>
      <c r="Q38" s="31">
        <f t="shared" si="62"/>
        <v>0.497689368</v>
      </c>
      <c r="R38" s="34">
        <f t="shared" si="24"/>
        <v>0.7604895105</v>
      </c>
      <c r="S38" s="9"/>
      <c r="U38" s="3"/>
      <c r="V38" s="8" t="s">
        <v>20</v>
      </c>
      <c r="W38" s="31">
        <f t="shared" ref="W38:AA38" si="63">(W11-W$25)/(W$26-W$25)</f>
        <v>0.2563097923</v>
      </c>
      <c r="X38" s="31">
        <f t="shared" si="63"/>
        <v>0</v>
      </c>
      <c r="Y38" s="31">
        <f t="shared" si="63"/>
        <v>0.1244862649</v>
      </c>
      <c r="Z38" s="31">
        <f t="shared" si="63"/>
        <v>0.1501657573</v>
      </c>
      <c r="AA38" s="31">
        <f t="shared" si="63"/>
        <v>0.5606498003</v>
      </c>
      <c r="AB38" s="34">
        <f t="shared" si="26"/>
        <v>0.8462837838</v>
      </c>
      <c r="AC38" s="9"/>
      <c r="AE38" s="3"/>
      <c r="AF38" s="8" t="s">
        <v>20</v>
      </c>
      <c r="AG38" s="31">
        <f t="shared" ref="AG38:AK38" si="64">(AG11-AG$25)/(AG$26-AG$25)</f>
        <v>0.3141424899</v>
      </c>
      <c r="AH38" s="31">
        <f t="shared" si="64"/>
        <v>0.3187512481</v>
      </c>
      <c r="AI38" s="31">
        <f t="shared" si="64"/>
        <v>0.1781827526</v>
      </c>
      <c r="AJ38" s="31">
        <f t="shared" si="64"/>
        <v>0.2146829685</v>
      </c>
      <c r="AK38" s="31">
        <f t="shared" si="64"/>
        <v>0.6455625628</v>
      </c>
      <c r="AL38" s="34">
        <f t="shared" si="28"/>
        <v>0.8401420959</v>
      </c>
      <c r="AM38" s="9"/>
      <c r="AO38" s="3"/>
      <c r="AP38" s="8" t="s">
        <v>20</v>
      </c>
      <c r="AQ38" s="31">
        <f t="shared" ref="AQ38:AU38" si="65">(AQ11-AQ$25)/(AQ$26-AQ$25)</f>
        <v>0.3392861724</v>
      </c>
      <c r="AR38" s="31">
        <f t="shared" si="65"/>
        <v>0</v>
      </c>
      <c r="AS38" s="31">
        <f t="shared" si="65"/>
        <v>0.195889258</v>
      </c>
      <c r="AT38" s="31">
        <f t="shared" si="65"/>
        <v>0.217284088</v>
      </c>
      <c r="AU38" s="31">
        <f t="shared" si="65"/>
        <v>0.6147755266</v>
      </c>
      <c r="AV38" s="34">
        <f t="shared" si="30"/>
        <v>0.8481012658</v>
      </c>
      <c r="AW38" s="9"/>
    </row>
    <row r="39" ht="14.25" customHeight="1">
      <c r="B39" s="8" t="s">
        <v>21</v>
      </c>
      <c r="C39" s="31">
        <f t="shared" ref="C39:G39" si="66">(C12-C$25)/(C$26-C$25)</f>
        <v>0</v>
      </c>
      <c r="D39" s="31">
        <f t="shared" si="66"/>
        <v>0.003859600054</v>
      </c>
      <c r="E39" s="31">
        <f t="shared" si="66"/>
        <v>0.198381006</v>
      </c>
      <c r="F39" s="31">
        <f t="shared" si="66"/>
        <v>0.05151950711</v>
      </c>
      <c r="G39" s="31">
        <f t="shared" si="66"/>
        <v>0.1837139907</v>
      </c>
      <c r="H39" s="34">
        <f t="shared" si="22"/>
        <v>1</v>
      </c>
      <c r="I39" s="9"/>
      <c r="K39" s="3"/>
      <c r="L39" s="8" t="s">
        <v>21</v>
      </c>
      <c r="M39" s="31">
        <f t="shared" ref="M39:Q39" si="67">(M12-M$25)/(M$26-M$25)</f>
        <v>0</v>
      </c>
      <c r="N39" s="31">
        <f t="shared" si="67"/>
        <v>0</v>
      </c>
      <c r="O39" s="31">
        <f t="shared" si="67"/>
        <v>0.2169153309</v>
      </c>
      <c r="P39" s="31">
        <f t="shared" si="67"/>
        <v>0.05784949489</v>
      </c>
      <c r="Q39" s="31">
        <f t="shared" si="67"/>
        <v>0.1865312323</v>
      </c>
      <c r="R39" s="34">
        <f t="shared" si="24"/>
        <v>1</v>
      </c>
      <c r="S39" s="9"/>
      <c r="U39" s="3"/>
      <c r="V39" s="8" t="s">
        <v>21</v>
      </c>
      <c r="W39" s="31">
        <f t="shared" ref="W39:AA39" si="68">(W12-W$25)/(W$26-W$25)</f>
        <v>0</v>
      </c>
      <c r="X39" s="31">
        <f t="shared" si="68"/>
        <v>0.9081885842</v>
      </c>
      <c r="Y39" s="31">
        <f t="shared" si="68"/>
        <v>0.3086497458</v>
      </c>
      <c r="Z39" s="31">
        <f t="shared" si="68"/>
        <v>0.09503749323</v>
      </c>
      <c r="AA39" s="31">
        <f t="shared" si="68"/>
        <v>0.3101004168</v>
      </c>
      <c r="AB39" s="34">
        <f t="shared" si="26"/>
        <v>1</v>
      </c>
      <c r="AC39" s="9"/>
      <c r="AE39" s="3"/>
      <c r="AF39" s="8" t="s">
        <v>21</v>
      </c>
      <c r="AG39" s="31">
        <f t="shared" ref="AG39:AK39" si="69">(AG12-AG$25)/(AG$26-AG$25)</f>
        <v>0</v>
      </c>
      <c r="AH39" s="31">
        <f t="shared" si="69"/>
        <v>0</v>
      </c>
      <c r="AI39" s="31">
        <f t="shared" si="69"/>
        <v>0.2563512714</v>
      </c>
      <c r="AJ39" s="31">
        <f t="shared" si="69"/>
        <v>0.07778101408</v>
      </c>
      <c r="AK39" s="31">
        <f t="shared" si="69"/>
        <v>0.2523866631</v>
      </c>
      <c r="AL39" s="34">
        <f t="shared" si="28"/>
        <v>1</v>
      </c>
      <c r="AM39" s="9"/>
      <c r="AO39" s="3"/>
      <c r="AP39" s="8" t="s">
        <v>21</v>
      </c>
      <c r="AQ39" s="31">
        <f t="shared" ref="AQ39:AU39" si="70">(AQ12-AQ$25)/(AQ$26-AQ$25)</f>
        <v>0</v>
      </c>
      <c r="AR39" s="31">
        <f t="shared" si="70"/>
        <v>0.1774279407</v>
      </c>
      <c r="AS39" s="31">
        <f t="shared" si="70"/>
        <v>0.3260130362</v>
      </c>
      <c r="AT39" s="31">
        <f t="shared" si="70"/>
        <v>0.09775231045</v>
      </c>
      <c r="AU39" s="31">
        <f t="shared" si="70"/>
        <v>0.3038655869</v>
      </c>
      <c r="AV39" s="34">
        <f t="shared" si="30"/>
        <v>1</v>
      </c>
      <c r="AW39" s="9"/>
    </row>
    <row r="40" ht="14.25" customHeight="1">
      <c r="C40" s="31"/>
      <c r="D40" s="31"/>
      <c r="E40" s="31"/>
      <c r="F40" s="31"/>
      <c r="G40" s="31"/>
      <c r="H40" s="34"/>
      <c r="I40" s="9"/>
      <c r="K40" s="3"/>
      <c r="M40" s="31"/>
      <c r="N40" s="31"/>
      <c r="O40" s="31"/>
      <c r="P40" s="31"/>
      <c r="Q40" s="31"/>
      <c r="R40" s="34"/>
      <c r="S40" s="9"/>
      <c r="U40" s="3"/>
      <c r="W40" s="31"/>
      <c r="X40" s="31"/>
      <c r="Y40" s="31"/>
      <c r="Z40" s="31"/>
      <c r="AA40" s="31"/>
      <c r="AB40" s="34"/>
      <c r="AC40" s="9"/>
      <c r="AE40" s="3"/>
      <c r="AG40" s="31"/>
      <c r="AH40" s="31"/>
      <c r="AI40" s="31"/>
      <c r="AJ40" s="31"/>
      <c r="AK40" s="31"/>
      <c r="AL40" s="34"/>
      <c r="AM40" s="9"/>
      <c r="AO40" s="3"/>
      <c r="AQ40" s="31"/>
      <c r="AR40" s="31"/>
      <c r="AS40" s="31"/>
      <c r="AT40" s="31"/>
      <c r="AU40" s="31"/>
      <c r="AV40" s="34"/>
      <c r="AW40" s="9"/>
    </row>
    <row r="41" ht="14.25" customHeight="1">
      <c r="C41" s="31"/>
      <c r="D41" s="31"/>
      <c r="E41" s="31"/>
      <c r="F41" s="31"/>
      <c r="G41" s="31"/>
      <c r="H41" s="34"/>
      <c r="I41" s="9"/>
      <c r="K41" s="3"/>
      <c r="M41" s="31"/>
      <c r="N41" s="31"/>
      <c r="O41" s="31"/>
      <c r="P41" s="31"/>
      <c r="Q41" s="31"/>
      <c r="R41" s="34"/>
      <c r="S41" s="9"/>
      <c r="U41" s="3"/>
      <c r="W41" s="31"/>
      <c r="X41" s="31"/>
      <c r="Y41" s="31"/>
      <c r="Z41" s="31"/>
      <c r="AA41" s="31"/>
      <c r="AB41" s="34"/>
      <c r="AC41" s="9"/>
      <c r="AE41" s="3"/>
      <c r="AG41" s="31"/>
      <c r="AH41" s="31"/>
      <c r="AI41" s="31"/>
      <c r="AJ41" s="31"/>
      <c r="AK41" s="31"/>
      <c r="AL41" s="34"/>
      <c r="AM41" s="9"/>
      <c r="AO41" s="3"/>
      <c r="AQ41" s="31"/>
      <c r="AR41" s="31"/>
      <c r="AS41" s="31"/>
      <c r="AT41" s="31"/>
      <c r="AU41" s="31"/>
      <c r="AV41" s="34"/>
      <c r="AW41" s="9"/>
    </row>
    <row r="42" ht="14.25" customHeight="1">
      <c r="C42" s="31"/>
      <c r="D42" s="31"/>
      <c r="E42" s="31"/>
      <c r="F42" s="31"/>
      <c r="G42" s="31"/>
      <c r="H42" s="34"/>
      <c r="I42" s="9"/>
      <c r="K42" s="3"/>
      <c r="M42" s="31"/>
      <c r="N42" s="31"/>
      <c r="O42" s="31"/>
      <c r="P42" s="31"/>
      <c r="Q42" s="31"/>
      <c r="R42" s="34"/>
      <c r="S42" s="9"/>
      <c r="U42" s="3"/>
      <c r="W42" s="31"/>
      <c r="X42" s="31"/>
      <c r="Y42" s="31"/>
      <c r="Z42" s="31"/>
      <c r="AA42" s="31"/>
      <c r="AB42" s="34"/>
      <c r="AC42" s="9"/>
      <c r="AE42" s="3"/>
      <c r="AG42" s="31"/>
      <c r="AH42" s="31"/>
      <c r="AI42" s="31"/>
      <c r="AJ42" s="31"/>
      <c r="AK42" s="31"/>
      <c r="AL42" s="34"/>
      <c r="AM42" s="9"/>
      <c r="AO42" s="3"/>
      <c r="AQ42" s="31"/>
      <c r="AR42" s="31"/>
      <c r="AS42" s="31"/>
      <c r="AT42" s="31"/>
      <c r="AU42" s="31"/>
      <c r="AV42" s="34"/>
      <c r="AW42" s="9"/>
    </row>
    <row r="43" ht="14.25" customHeight="1">
      <c r="C43" s="31"/>
      <c r="D43" s="31"/>
      <c r="E43" s="31"/>
      <c r="F43" s="31"/>
      <c r="G43" s="31"/>
      <c r="H43" s="34"/>
      <c r="I43" s="9"/>
      <c r="K43" s="3"/>
      <c r="M43" s="31"/>
      <c r="N43" s="31"/>
      <c r="O43" s="31"/>
      <c r="P43" s="31"/>
      <c r="Q43" s="31"/>
      <c r="R43" s="34"/>
      <c r="S43" s="9"/>
      <c r="U43" s="3"/>
      <c r="W43" s="31"/>
      <c r="X43" s="31"/>
      <c r="Y43" s="31"/>
      <c r="Z43" s="31"/>
      <c r="AA43" s="31"/>
      <c r="AB43" s="34"/>
      <c r="AC43" s="9"/>
      <c r="AE43" s="3"/>
      <c r="AG43" s="31"/>
      <c r="AH43" s="31"/>
      <c r="AI43" s="31"/>
      <c r="AJ43" s="31"/>
      <c r="AK43" s="31"/>
      <c r="AL43" s="34"/>
      <c r="AM43" s="9"/>
      <c r="AO43" s="3"/>
      <c r="AQ43" s="31"/>
      <c r="AR43" s="31"/>
      <c r="AS43" s="31"/>
      <c r="AT43" s="31"/>
      <c r="AU43" s="31"/>
      <c r="AV43" s="34"/>
      <c r="AW43" s="9"/>
    </row>
    <row r="44" ht="14.25" customHeight="1">
      <c r="C44" s="31"/>
      <c r="D44" s="31"/>
      <c r="E44" s="31"/>
      <c r="F44" s="31"/>
      <c r="G44" s="31"/>
      <c r="H44" s="34"/>
      <c r="I44" s="9"/>
      <c r="K44" s="3"/>
      <c r="M44" s="31"/>
      <c r="N44" s="31"/>
      <c r="O44" s="31"/>
      <c r="P44" s="31"/>
      <c r="Q44" s="31"/>
      <c r="R44" s="34"/>
      <c r="S44" s="9"/>
      <c r="U44" s="3"/>
      <c r="W44" s="31"/>
      <c r="X44" s="31"/>
      <c r="Y44" s="31"/>
      <c r="Z44" s="31"/>
      <c r="AA44" s="31"/>
      <c r="AB44" s="34"/>
      <c r="AC44" s="9"/>
      <c r="AE44" s="3"/>
      <c r="AG44" s="31"/>
      <c r="AH44" s="31"/>
      <c r="AI44" s="31"/>
      <c r="AJ44" s="31"/>
      <c r="AK44" s="31"/>
      <c r="AL44" s="34"/>
      <c r="AM44" s="9"/>
      <c r="AO44" s="3"/>
      <c r="AQ44" s="31"/>
      <c r="AR44" s="31"/>
      <c r="AS44" s="31"/>
      <c r="AT44" s="31"/>
      <c r="AU44" s="31"/>
      <c r="AV44" s="34"/>
      <c r="AW44" s="9"/>
    </row>
    <row r="45" ht="14.25" customHeight="1">
      <c r="C45" s="31"/>
      <c r="D45" s="31"/>
      <c r="E45" s="31"/>
      <c r="F45" s="31"/>
      <c r="G45" s="31"/>
      <c r="H45" s="34"/>
      <c r="I45" s="9"/>
      <c r="K45" s="3"/>
      <c r="M45" s="31"/>
      <c r="N45" s="31"/>
      <c r="O45" s="31"/>
      <c r="P45" s="31"/>
      <c r="Q45" s="31"/>
      <c r="R45" s="34"/>
      <c r="S45" s="9"/>
      <c r="U45" s="3"/>
      <c r="W45" s="31"/>
      <c r="X45" s="31"/>
      <c r="Y45" s="31"/>
      <c r="Z45" s="31"/>
      <c r="AA45" s="31"/>
      <c r="AB45" s="34"/>
      <c r="AC45" s="9"/>
      <c r="AE45" s="3"/>
      <c r="AG45" s="31"/>
      <c r="AH45" s="31"/>
      <c r="AI45" s="31"/>
      <c r="AJ45" s="31"/>
      <c r="AK45" s="31"/>
      <c r="AL45" s="34"/>
      <c r="AM45" s="9"/>
      <c r="AO45" s="3"/>
      <c r="AQ45" s="31"/>
      <c r="AR45" s="31"/>
      <c r="AS45" s="31"/>
      <c r="AT45" s="31"/>
      <c r="AU45" s="31"/>
      <c r="AV45" s="34"/>
      <c r="AW45" s="9"/>
    </row>
    <row r="46" ht="14.25" customHeight="1">
      <c r="C46" s="31"/>
      <c r="D46" s="31"/>
      <c r="E46" s="31"/>
      <c r="F46" s="31"/>
      <c r="G46" s="31"/>
      <c r="H46" s="34"/>
      <c r="I46" s="9"/>
      <c r="K46" s="3"/>
      <c r="M46" s="31"/>
      <c r="N46" s="31"/>
      <c r="O46" s="31"/>
      <c r="P46" s="31"/>
      <c r="Q46" s="31"/>
      <c r="R46" s="34"/>
      <c r="S46" s="9"/>
      <c r="U46" s="3"/>
      <c r="W46" s="31"/>
      <c r="X46" s="31"/>
      <c r="Y46" s="31"/>
      <c r="Z46" s="31"/>
      <c r="AA46" s="31"/>
      <c r="AB46" s="34"/>
      <c r="AC46" s="9"/>
      <c r="AE46" s="3"/>
      <c r="AG46" s="31"/>
      <c r="AH46" s="31"/>
      <c r="AI46" s="31"/>
      <c r="AJ46" s="31"/>
      <c r="AK46" s="31"/>
      <c r="AL46" s="34"/>
      <c r="AM46" s="9"/>
      <c r="AO46" s="3"/>
      <c r="AQ46" s="31"/>
      <c r="AR46" s="31"/>
      <c r="AS46" s="31"/>
      <c r="AT46" s="31"/>
      <c r="AU46" s="31"/>
      <c r="AV46" s="34"/>
      <c r="AW46" s="9"/>
    </row>
    <row r="47" ht="14.25" customHeight="1">
      <c r="C47" s="31"/>
      <c r="D47" s="31"/>
      <c r="E47" s="31"/>
      <c r="F47" s="31"/>
      <c r="G47" s="31"/>
      <c r="H47" s="34"/>
      <c r="I47" s="9"/>
      <c r="K47" s="3"/>
      <c r="M47" s="31"/>
      <c r="N47" s="31"/>
      <c r="O47" s="31"/>
      <c r="P47" s="31"/>
      <c r="Q47" s="31"/>
      <c r="R47" s="34"/>
      <c r="S47" s="9"/>
      <c r="U47" s="3"/>
      <c r="W47" s="31"/>
      <c r="X47" s="31"/>
      <c r="Y47" s="31"/>
      <c r="Z47" s="31"/>
      <c r="AA47" s="31"/>
      <c r="AB47" s="34"/>
      <c r="AC47" s="9"/>
      <c r="AE47" s="3"/>
      <c r="AG47" s="31"/>
      <c r="AH47" s="31"/>
      <c r="AI47" s="31"/>
      <c r="AJ47" s="31"/>
      <c r="AK47" s="31"/>
      <c r="AL47" s="34"/>
      <c r="AM47" s="9"/>
      <c r="AO47" s="3"/>
      <c r="AQ47" s="31"/>
      <c r="AR47" s="31"/>
      <c r="AS47" s="31"/>
      <c r="AT47" s="31"/>
      <c r="AU47" s="31"/>
      <c r="AV47" s="34"/>
      <c r="AW47" s="9"/>
    </row>
    <row r="48" ht="14.25" customHeight="1">
      <c r="C48" s="31"/>
      <c r="D48" s="31"/>
      <c r="E48" s="31"/>
      <c r="F48" s="31"/>
      <c r="G48" s="31"/>
      <c r="H48" s="34"/>
      <c r="I48" s="9"/>
      <c r="K48" s="3"/>
      <c r="M48" s="31"/>
      <c r="N48" s="31"/>
      <c r="O48" s="31"/>
      <c r="P48" s="31"/>
      <c r="Q48" s="31"/>
      <c r="R48" s="34"/>
      <c r="S48" s="9"/>
      <c r="U48" s="3"/>
      <c r="W48" s="31"/>
      <c r="X48" s="31"/>
      <c r="Y48" s="31"/>
      <c r="Z48" s="31"/>
      <c r="AA48" s="31"/>
      <c r="AB48" s="34"/>
      <c r="AC48" s="9"/>
      <c r="AE48" s="3"/>
      <c r="AG48" s="31"/>
      <c r="AH48" s="31"/>
      <c r="AI48" s="31"/>
      <c r="AJ48" s="31"/>
      <c r="AK48" s="31"/>
      <c r="AL48" s="34"/>
      <c r="AM48" s="9"/>
      <c r="AO48" s="3"/>
      <c r="AQ48" s="31"/>
      <c r="AR48" s="31"/>
      <c r="AS48" s="31"/>
      <c r="AT48" s="31"/>
      <c r="AU48" s="31"/>
      <c r="AV48" s="34"/>
      <c r="AW48" s="9"/>
    </row>
    <row r="49" ht="14.25" customHeight="1">
      <c r="C49" s="31"/>
      <c r="D49" s="31"/>
      <c r="E49" s="31"/>
      <c r="F49" s="31"/>
      <c r="G49" s="31"/>
      <c r="H49" s="34"/>
      <c r="I49" s="9"/>
      <c r="K49" s="3"/>
      <c r="M49" s="31"/>
      <c r="N49" s="31"/>
      <c r="O49" s="31"/>
      <c r="P49" s="31"/>
      <c r="Q49" s="31"/>
      <c r="R49" s="34"/>
      <c r="S49" s="9"/>
      <c r="U49" s="3"/>
      <c r="W49" s="31"/>
      <c r="X49" s="31"/>
      <c r="Y49" s="31"/>
      <c r="Z49" s="31"/>
      <c r="AA49" s="31"/>
      <c r="AB49" s="34"/>
      <c r="AC49" s="9"/>
      <c r="AE49" s="3"/>
      <c r="AG49" s="31"/>
      <c r="AH49" s="31"/>
      <c r="AI49" s="31"/>
      <c r="AJ49" s="31"/>
      <c r="AK49" s="31"/>
      <c r="AL49" s="34"/>
      <c r="AM49" s="9"/>
      <c r="AO49" s="3"/>
      <c r="AQ49" s="31"/>
      <c r="AR49" s="31"/>
      <c r="AS49" s="31"/>
      <c r="AT49" s="31"/>
      <c r="AU49" s="31"/>
      <c r="AV49" s="34"/>
      <c r="AW49" s="9"/>
    </row>
    <row r="50" ht="14.25" customHeight="1">
      <c r="C50" s="31"/>
      <c r="D50" s="31"/>
      <c r="E50" s="31"/>
      <c r="F50" s="31"/>
      <c r="G50" s="31"/>
      <c r="H50" s="34"/>
      <c r="I50" s="9"/>
      <c r="K50" s="3"/>
      <c r="M50" s="31"/>
      <c r="N50" s="31"/>
      <c r="O50" s="31"/>
      <c r="P50" s="31"/>
      <c r="Q50" s="31"/>
      <c r="R50" s="34"/>
      <c r="S50" s="9"/>
      <c r="U50" s="3"/>
      <c r="W50" s="31"/>
      <c r="X50" s="31"/>
      <c r="Y50" s="31"/>
      <c r="Z50" s="31"/>
      <c r="AA50" s="31"/>
      <c r="AB50" s="34"/>
      <c r="AC50" s="9"/>
      <c r="AE50" s="3"/>
      <c r="AG50" s="31"/>
      <c r="AH50" s="31"/>
      <c r="AI50" s="31"/>
      <c r="AJ50" s="31"/>
      <c r="AK50" s="31"/>
      <c r="AL50" s="34"/>
      <c r="AM50" s="9"/>
      <c r="AO50" s="3"/>
      <c r="AQ50" s="31"/>
      <c r="AR50" s="31"/>
      <c r="AS50" s="31"/>
      <c r="AT50" s="31"/>
      <c r="AU50" s="31"/>
      <c r="AV50" s="34"/>
      <c r="AW50" s="9"/>
    </row>
    <row r="51" ht="14.25" customHeight="1">
      <c r="B51" s="1" t="s">
        <v>47</v>
      </c>
      <c r="C51" s="31">
        <f t="shared" ref="C51:H51" si="71">SUM(C30:C50)</f>
        <v>5.228582941</v>
      </c>
      <c r="D51" s="31">
        <f t="shared" si="71"/>
        <v>3.505895972</v>
      </c>
      <c r="E51" s="31">
        <f t="shared" si="71"/>
        <v>2.688190038</v>
      </c>
      <c r="F51" s="31">
        <f t="shared" si="71"/>
        <v>2.573611764</v>
      </c>
      <c r="G51" s="31">
        <f t="shared" si="71"/>
        <v>5.566093875</v>
      </c>
      <c r="H51" s="31">
        <f t="shared" si="71"/>
        <v>6.24822695</v>
      </c>
      <c r="I51" s="9"/>
      <c r="K51" s="3"/>
      <c r="L51" s="1" t="s">
        <v>47</v>
      </c>
      <c r="M51" s="31">
        <f t="shared" ref="M51:R51" si="72">SUM(M30:M50)</f>
        <v>5.648713406</v>
      </c>
      <c r="N51" s="31">
        <f t="shared" si="72"/>
        <v>6.017799343</v>
      </c>
      <c r="O51" s="31">
        <f t="shared" si="72"/>
        <v>2.647421759</v>
      </c>
      <c r="P51" s="31">
        <f t="shared" si="72"/>
        <v>2.495550668</v>
      </c>
      <c r="Q51" s="31">
        <f t="shared" si="72"/>
        <v>5.619817182</v>
      </c>
      <c r="R51" s="31">
        <f t="shared" si="72"/>
        <v>6.531468531</v>
      </c>
      <c r="S51" s="9"/>
      <c r="U51" s="3"/>
      <c r="V51" s="1" t="s">
        <v>47</v>
      </c>
      <c r="W51" s="31">
        <f t="shared" ref="W51:AB51" si="73">SUM(W30:W50)</f>
        <v>5.116009021</v>
      </c>
      <c r="X51" s="31">
        <f t="shared" si="73"/>
        <v>5.821234483</v>
      </c>
      <c r="Y51" s="31">
        <f t="shared" si="73"/>
        <v>2.618131478</v>
      </c>
      <c r="Z51" s="31">
        <f t="shared" si="73"/>
        <v>2.368988859</v>
      </c>
      <c r="AA51" s="31">
        <f t="shared" si="73"/>
        <v>6.174721595</v>
      </c>
      <c r="AB51" s="31">
        <f t="shared" si="73"/>
        <v>6.793918919</v>
      </c>
      <c r="AC51" s="9"/>
      <c r="AE51" s="3"/>
      <c r="AF51" s="1" t="s">
        <v>47</v>
      </c>
      <c r="AG51" s="31">
        <f t="shared" ref="AG51:AL51" si="74">SUM(AG30:AG50)</f>
        <v>4.923441691</v>
      </c>
      <c r="AH51" s="31">
        <f t="shared" si="74"/>
        <v>4.519965108</v>
      </c>
      <c r="AI51" s="31">
        <f t="shared" si="74"/>
        <v>2.640386575</v>
      </c>
      <c r="AJ51" s="31">
        <f t="shared" si="74"/>
        <v>2.405412919</v>
      </c>
      <c r="AK51" s="31">
        <f t="shared" si="74"/>
        <v>6.092489462</v>
      </c>
      <c r="AL51" s="31">
        <f t="shared" si="74"/>
        <v>6.644760213</v>
      </c>
      <c r="AM51" s="9"/>
      <c r="AO51" s="3"/>
      <c r="AP51" s="1" t="s">
        <v>47</v>
      </c>
      <c r="AQ51" s="31">
        <f t="shared" ref="AQ51:AV51" si="75">SUM(AQ30:AQ50)</f>
        <v>5.208588492</v>
      </c>
      <c r="AR51" s="31">
        <f t="shared" si="75"/>
        <v>4.224280294</v>
      </c>
      <c r="AS51" s="31">
        <f t="shared" si="75"/>
        <v>2.776609341</v>
      </c>
      <c r="AT51" s="31">
        <f t="shared" si="75"/>
        <v>2.493787704</v>
      </c>
      <c r="AU51" s="31">
        <f t="shared" si="75"/>
        <v>6.166893737</v>
      </c>
      <c r="AV51" s="31">
        <f t="shared" si="75"/>
        <v>6.721518987</v>
      </c>
      <c r="AW51" s="9"/>
    </row>
    <row r="52" ht="14.25" customHeight="1">
      <c r="C52" s="9"/>
      <c r="D52" s="9"/>
      <c r="E52" s="9"/>
      <c r="F52" s="9"/>
      <c r="G52" s="9"/>
      <c r="H52" s="16"/>
      <c r="I52" s="9"/>
      <c r="K52" s="3"/>
      <c r="M52" s="9"/>
      <c r="N52" s="9"/>
      <c r="O52" s="9"/>
      <c r="P52" s="9"/>
      <c r="Q52" s="9"/>
      <c r="R52" s="16"/>
      <c r="S52" s="9"/>
      <c r="U52" s="3"/>
      <c r="W52" s="9"/>
      <c r="X52" s="9"/>
      <c r="Y52" s="9"/>
      <c r="Z52" s="9"/>
      <c r="AA52" s="9"/>
      <c r="AB52" s="16"/>
      <c r="AC52" s="9"/>
      <c r="AE52" s="3"/>
      <c r="AG52" s="9"/>
      <c r="AH52" s="9"/>
      <c r="AI52" s="9"/>
      <c r="AJ52" s="9"/>
      <c r="AK52" s="9"/>
      <c r="AL52" s="16"/>
      <c r="AM52" s="9"/>
      <c r="AO52" s="3"/>
      <c r="AQ52" s="9"/>
      <c r="AR52" s="9"/>
      <c r="AS52" s="9"/>
      <c r="AT52" s="9"/>
      <c r="AU52" s="9"/>
      <c r="AV52" s="16"/>
      <c r="AW52" s="9"/>
    </row>
    <row r="53" ht="14.25" customHeight="1">
      <c r="B53" s="33" t="s">
        <v>77</v>
      </c>
      <c r="C53" s="9"/>
      <c r="D53" s="9"/>
      <c r="E53" s="9"/>
      <c r="F53" s="9"/>
      <c r="G53" s="9"/>
      <c r="H53" s="16"/>
      <c r="I53" s="9"/>
      <c r="K53" s="3"/>
      <c r="L53" s="33" t="s">
        <v>77</v>
      </c>
      <c r="M53" s="9"/>
      <c r="N53" s="9"/>
      <c r="O53" s="9"/>
      <c r="P53" s="9"/>
      <c r="Q53" s="9"/>
      <c r="R53" s="16"/>
      <c r="S53" s="9"/>
      <c r="U53" s="3"/>
      <c r="V53" s="33" t="s">
        <v>77</v>
      </c>
      <c r="W53" s="9"/>
      <c r="X53" s="9"/>
      <c r="Y53" s="9"/>
      <c r="Z53" s="9"/>
      <c r="AA53" s="9"/>
      <c r="AB53" s="16"/>
      <c r="AC53" s="9"/>
      <c r="AE53" s="3"/>
      <c r="AF53" s="33" t="s">
        <v>77</v>
      </c>
      <c r="AG53" s="9"/>
      <c r="AH53" s="9"/>
      <c r="AI53" s="9"/>
      <c r="AJ53" s="9"/>
      <c r="AK53" s="9"/>
      <c r="AL53" s="16"/>
      <c r="AM53" s="9"/>
      <c r="AO53" s="3"/>
      <c r="AP53" s="33" t="s">
        <v>77</v>
      </c>
      <c r="AQ53" s="9"/>
      <c r="AR53" s="9"/>
      <c r="AS53" s="9"/>
      <c r="AT53" s="9"/>
      <c r="AU53" s="9"/>
      <c r="AV53" s="16"/>
      <c r="AW53" s="9"/>
    </row>
    <row r="54" ht="14.25" customHeight="1">
      <c r="B54" s="33" t="s">
        <v>78</v>
      </c>
      <c r="C54" s="9"/>
      <c r="D54" s="9"/>
      <c r="E54" s="9"/>
      <c r="F54" s="9"/>
      <c r="G54" s="9"/>
      <c r="H54" s="16"/>
      <c r="I54" s="9"/>
      <c r="K54" s="3"/>
      <c r="L54" s="33" t="s">
        <v>78</v>
      </c>
      <c r="M54" s="9"/>
      <c r="N54" s="9"/>
      <c r="O54" s="9"/>
      <c r="P54" s="9"/>
      <c r="Q54" s="9"/>
      <c r="R54" s="16"/>
      <c r="S54" s="9"/>
      <c r="U54" s="3"/>
      <c r="V54" s="33" t="s">
        <v>78</v>
      </c>
      <c r="W54" s="9"/>
      <c r="X54" s="9"/>
      <c r="Y54" s="9"/>
      <c r="Z54" s="9"/>
      <c r="AA54" s="9"/>
      <c r="AB54" s="16"/>
      <c r="AC54" s="9"/>
      <c r="AE54" s="3"/>
      <c r="AF54" s="33" t="s">
        <v>78</v>
      </c>
      <c r="AG54" s="9"/>
      <c r="AH54" s="9"/>
      <c r="AI54" s="9"/>
      <c r="AJ54" s="9"/>
      <c r="AK54" s="9"/>
      <c r="AL54" s="16"/>
      <c r="AM54" s="9"/>
      <c r="AO54" s="3"/>
      <c r="AP54" s="33" t="s">
        <v>78</v>
      </c>
      <c r="AQ54" s="9"/>
      <c r="AR54" s="9"/>
      <c r="AS54" s="9"/>
      <c r="AT54" s="9"/>
      <c r="AU54" s="9"/>
      <c r="AV54" s="16"/>
      <c r="AW54" s="9"/>
    </row>
    <row r="55" ht="14.25" customHeight="1">
      <c r="B55" s="1" t="s">
        <v>32</v>
      </c>
      <c r="C55" s="9" t="s">
        <v>33</v>
      </c>
      <c r="D55" s="9" t="s">
        <v>34</v>
      </c>
      <c r="E55" s="9" t="s">
        <v>35</v>
      </c>
      <c r="F55" s="9" t="s">
        <v>36</v>
      </c>
      <c r="G55" s="9" t="s">
        <v>37</v>
      </c>
      <c r="H55" s="16" t="s">
        <v>39</v>
      </c>
      <c r="I55" s="9"/>
      <c r="K55" s="3"/>
      <c r="L55" s="1" t="s">
        <v>32</v>
      </c>
      <c r="M55" s="9" t="s">
        <v>33</v>
      </c>
      <c r="N55" s="9" t="s">
        <v>34</v>
      </c>
      <c r="O55" s="9" t="s">
        <v>35</v>
      </c>
      <c r="P55" s="9" t="s">
        <v>36</v>
      </c>
      <c r="Q55" s="9" t="s">
        <v>37</v>
      </c>
      <c r="R55" s="16" t="s">
        <v>39</v>
      </c>
      <c r="S55" s="9"/>
      <c r="U55" s="3"/>
      <c r="V55" s="1" t="s">
        <v>32</v>
      </c>
      <c r="W55" s="9" t="s">
        <v>33</v>
      </c>
      <c r="X55" s="9" t="s">
        <v>34</v>
      </c>
      <c r="Y55" s="9" t="s">
        <v>35</v>
      </c>
      <c r="Z55" s="9" t="s">
        <v>36</v>
      </c>
      <c r="AA55" s="9" t="s">
        <v>37</v>
      </c>
      <c r="AB55" s="16" t="s">
        <v>39</v>
      </c>
      <c r="AC55" s="9"/>
      <c r="AE55" s="3"/>
      <c r="AF55" s="1" t="s">
        <v>32</v>
      </c>
      <c r="AG55" s="9" t="s">
        <v>33</v>
      </c>
      <c r="AH55" s="9" t="s">
        <v>34</v>
      </c>
      <c r="AI55" s="9" t="s">
        <v>35</v>
      </c>
      <c r="AJ55" s="9" t="s">
        <v>36</v>
      </c>
      <c r="AK55" s="9" t="s">
        <v>37</v>
      </c>
      <c r="AL55" s="16" t="s">
        <v>39</v>
      </c>
      <c r="AM55" s="9"/>
      <c r="AO55" s="3"/>
      <c r="AP55" s="1" t="s">
        <v>32</v>
      </c>
      <c r="AQ55" s="9" t="s">
        <v>33</v>
      </c>
      <c r="AR55" s="9" t="s">
        <v>34</v>
      </c>
      <c r="AS55" s="9" t="s">
        <v>35</v>
      </c>
      <c r="AT55" s="9" t="s">
        <v>36</v>
      </c>
      <c r="AU55" s="9" t="s">
        <v>37</v>
      </c>
      <c r="AV55" s="16" t="s">
        <v>39</v>
      </c>
      <c r="AW55" s="9"/>
    </row>
    <row r="56" ht="14.25" customHeight="1">
      <c r="B56" s="8" t="s">
        <v>9</v>
      </c>
      <c r="C56" s="31">
        <f t="shared" ref="C56:H56" si="76">C30/C$51</f>
        <v>0.09765966547</v>
      </c>
      <c r="D56" s="31">
        <f t="shared" si="76"/>
        <v>0.02489012612</v>
      </c>
      <c r="E56" s="31">
        <f t="shared" si="76"/>
        <v>0.002527048536</v>
      </c>
      <c r="F56" s="31">
        <f t="shared" si="76"/>
        <v>0.01625413357</v>
      </c>
      <c r="G56" s="31">
        <f t="shared" si="76"/>
        <v>0.04053028988</v>
      </c>
      <c r="H56" s="31">
        <f t="shared" si="76"/>
        <v>0.07718501703</v>
      </c>
      <c r="I56" s="9"/>
      <c r="K56" s="3"/>
      <c r="L56" s="8" t="s">
        <v>9</v>
      </c>
      <c r="M56" s="31">
        <f t="shared" ref="M56:R56" si="77">M30/M$51</f>
        <v>0.1086364859</v>
      </c>
      <c r="N56" s="31">
        <f t="shared" si="77"/>
        <v>0.1207262903</v>
      </c>
      <c r="O56" s="31">
        <f t="shared" si="77"/>
        <v>0.002726540657</v>
      </c>
      <c r="P56" s="31">
        <f t="shared" si="77"/>
        <v>0.01782054425</v>
      </c>
      <c r="Q56" s="31">
        <f t="shared" si="77"/>
        <v>0.04256092462</v>
      </c>
      <c r="R56" s="31">
        <f t="shared" si="77"/>
        <v>0.07548179872</v>
      </c>
      <c r="S56" s="9"/>
      <c r="U56" s="3"/>
      <c r="V56" s="8" t="s">
        <v>9</v>
      </c>
      <c r="W56" s="31">
        <f t="shared" ref="W56:AB56" si="78">W30/W$51</f>
        <v>0.107517368</v>
      </c>
      <c r="X56" s="31">
        <f t="shared" si="78"/>
        <v>0.1117858303</v>
      </c>
      <c r="Y56" s="31">
        <f t="shared" si="78"/>
        <v>0.002561800155</v>
      </c>
      <c r="Z56" s="31">
        <f t="shared" si="78"/>
        <v>0.01573593327</v>
      </c>
      <c r="AA56" s="31">
        <f t="shared" si="78"/>
        <v>0.04525500494</v>
      </c>
      <c r="AB56" s="31">
        <f t="shared" si="78"/>
        <v>0.07508702138</v>
      </c>
      <c r="AC56" s="9"/>
      <c r="AE56" s="3"/>
      <c r="AF56" s="8" t="s">
        <v>9</v>
      </c>
      <c r="AG56" s="31">
        <f t="shared" ref="AG56:AL56" si="79">AG30/AG$51</f>
        <v>0.09891135065</v>
      </c>
      <c r="AH56" s="31">
        <f t="shared" si="79"/>
        <v>0.02291475271</v>
      </c>
      <c r="AI56" s="31">
        <f t="shared" si="79"/>
        <v>0.002402541314</v>
      </c>
      <c r="AJ56" s="31">
        <f t="shared" si="79"/>
        <v>0.01534350909</v>
      </c>
      <c r="AK56" s="31">
        <f t="shared" si="79"/>
        <v>0.0376654198</v>
      </c>
      <c r="AL56" s="31">
        <f t="shared" si="79"/>
        <v>0.07404437316</v>
      </c>
      <c r="AM56" s="9"/>
      <c r="AO56" s="3"/>
      <c r="AP56" s="8" t="s">
        <v>9</v>
      </c>
      <c r="AQ56" s="31">
        <f t="shared" ref="AQ56:AV56" si="80">AQ30/AQ$51</f>
        <v>0.1076438234</v>
      </c>
      <c r="AR56" s="31">
        <f t="shared" si="80"/>
        <v>0.1590494622</v>
      </c>
      <c r="AS56" s="31">
        <f t="shared" si="80"/>
        <v>0.00277925675</v>
      </c>
      <c r="AT56" s="31">
        <f t="shared" si="80"/>
        <v>0.01924770925</v>
      </c>
      <c r="AU56" s="31">
        <f t="shared" si="80"/>
        <v>0.04837765589</v>
      </c>
      <c r="AV56" s="31">
        <f t="shared" si="80"/>
        <v>0.07425343019</v>
      </c>
      <c r="AW56" s="9"/>
    </row>
    <row r="57" ht="14.25" customHeight="1">
      <c r="B57" s="8" t="s">
        <v>10</v>
      </c>
      <c r="C57" s="31">
        <f t="shared" ref="C57:H57" si="81">C31/C$51</f>
        <v>0.07596592849</v>
      </c>
      <c r="D57" s="31">
        <f t="shared" si="81"/>
        <v>0.1464201081</v>
      </c>
      <c r="E57" s="31">
        <f t="shared" si="81"/>
        <v>0.1965423119</v>
      </c>
      <c r="F57" s="31">
        <f t="shared" si="81"/>
        <v>0.2144361666</v>
      </c>
      <c r="G57" s="31">
        <f t="shared" si="81"/>
        <v>0.1796592049</v>
      </c>
      <c r="H57" s="31">
        <f t="shared" si="81"/>
        <v>0.1279795687</v>
      </c>
      <c r="I57" s="9"/>
      <c r="K57" s="3"/>
      <c r="L57" s="8" t="s">
        <v>10</v>
      </c>
      <c r="M57" s="31">
        <f t="shared" ref="M57:R57" si="82">M31/M$51</f>
        <v>0.07589166324</v>
      </c>
      <c r="N57" s="31">
        <f t="shared" si="82"/>
        <v>0.1661737029</v>
      </c>
      <c r="O57" s="31">
        <f t="shared" si="82"/>
        <v>0.1813903103</v>
      </c>
      <c r="P57" s="31">
        <f t="shared" si="82"/>
        <v>0.2027941453</v>
      </c>
      <c r="Q57" s="31">
        <f t="shared" si="82"/>
        <v>0.1779417315</v>
      </c>
      <c r="R57" s="31">
        <f t="shared" si="82"/>
        <v>0.1260706638</v>
      </c>
      <c r="S57" s="9"/>
      <c r="U57" s="3"/>
      <c r="V57" s="8" t="s">
        <v>10</v>
      </c>
      <c r="W57" s="31">
        <f t="shared" ref="W57:AB57" si="83">W31/W$51</f>
        <v>0.07075460577</v>
      </c>
      <c r="X57" s="31">
        <f t="shared" si="83"/>
        <v>0.08038036795</v>
      </c>
      <c r="Y57" s="31">
        <f t="shared" si="83"/>
        <v>0.151215154</v>
      </c>
      <c r="Z57" s="31">
        <f t="shared" si="83"/>
        <v>0.1722462973</v>
      </c>
      <c r="AA57" s="31">
        <f t="shared" si="83"/>
        <v>0.1619506215</v>
      </c>
      <c r="AB57" s="31">
        <f t="shared" si="83"/>
        <v>0.1228244654</v>
      </c>
      <c r="AC57" s="9"/>
      <c r="AE57" s="3"/>
      <c r="AF57" s="8" t="s">
        <v>10</v>
      </c>
      <c r="AG57" s="31">
        <f t="shared" ref="AG57:AL57" si="84">AG31/AG$51</f>
        <v>0.0707551772</v>
      </c>
      <c r="AH57" s="31">
        <f t="shared" si="84"/>
        <v>0.07343361158</v>
      </c>
      <c r="AI57" s="31">
        <f t="shared" si="84"/>
        <v>0.1563311785</v>
      </c>
      <c r="AJ57" s="31">
        <f t="shared" si="84"/>
        <v>0.1724118399</v>
      </c>
      <c r="AK57" s="31">
        <f t="shared" si="84"/>
        <v>0.164136517</v>
      </c>
      <c r="AL57" s="31">
        <f t="shared" si="84"/>
        <v>0.1224271585</v>
      </c>
      <c r="AM57" s="9"/>
      <c r="AO57" s="3"/>
      <c r="AP57" s="8" t="s">
        <v>10</v>
      </c>
      <c r="AQ57" s="31">
        <f t="shared" ref="AQ57:AV57" si="85">AQ31/AQ$51</f>
        <v>0.07506371159</v>
      </c>
      <c r="AR57" s="31">
        <f t="shared" si="85"/>
        <v>0.09025567554</v>
      </c>
      <c r="AS57" s="31">
        <f t="shared" si="85"/>
        <v>0.1625106996</v>
      </c>
      <c r="AT57" s="31">
        <f t="shared" si="85"/>
        <v>0.172772801</v>
      </c>
      <c r="AU57" s="31">
        <f t="shared" si="85"/>
        <v>0.1621561912</v>
      </c>
      <c r="AV57" s="31">
        <f t="shared" si="85"/>
        <v>0.123755717</v>
      </c>
      <c r="AW57" s="9"/>
    </row>
    <row r="58" ht="14.25" customHeight="1">
      <c r="B58" s="8" t="s">
        <v>13</v>
      </c>
      <c r="C58" s="31">
        <f t="shared" ref="C58:H58" si="86">C32/C$51</f>
        <v>0.1432993612</v>
      </c>
      <c r="D58" s="31">
        <f t="shared" si="86"/>
        <v>0.0686755159</v>
      </c>
      <c r="E58" s="31">
        <f t="shared" si="86"/>
        <v>0.2010165634</v>
      </c>
      <c r="F58" s="31">
        <f t="shared" si="86"/>
        <v>0.07872380026</v>
      </c>
      <c r="G58" s="31">
        <f t="shared" si="86"/>
        <v>0.1571815721</v>
      </c>
      <c r="H58" s="31">
        <f t="shared" si="86"/>
        <v>0.1299659478</v>
      </c>
      <c r="I58" s="9"/>
      <c r="K58" s="3"/>
      <c r="L58" s="8" t="s">
        <v>13</v>
      </c>
      <c r="M58" s="31">
        <f t="shared" ref="M58:R58" si="87">M32/M$51</f>
        <v>0.1471627836</v>
      </c>
      <c r="N58" s="31">
        <f t="shared" si="87"/>
        <v>0.1061688946</v>
      </c>
      <c r="O58" s="31">
        <f t="shared" si="87"/>
        <v>0.2039205495</v>
      </c>
      <c r="P58" s="31">
        <f t="shared" si="87"/>
        <v>0.08043045399</v>
      </c>
      <c r="Q58" s="31">
        <f t="shared" si="87"/>
        <v>0.1540373661</v>
      </c>
      <c r="R58" s="31">
        <f t="shared" si="87"/>
        <v>0.1330299786</v>
      </c>
      <c r="S58" s="9"/>
      <c r="U58" s="3"/>
      <c r="V58" s="8" t="s">
        <v>13</v>
      </c>
      <c r="W58" s="31">
        <f t="shared" ref="W58:AB58" si="88">W32/W$51</f>
        <v>0.1515419302</v>
      </c>
      <c r="X58" s="31">
        <f t="shared" si="88"/>
        <v>0.08423298928</v>
      </c>
      <c r="Y58" s="31">
        <f t="shared" si="88"/>
        <v>0.2004398625</v>
      </c>
      <c r="Z58" s="31">
        <f t="shared" si="88"/>
        <v>0.07802863242</v>
      </c>
      <c r="AA58" s="31">
        <f t="shared" si="88"/>
        <v>0.157866579</v>
      </c>
      <c r="AB58" s="31">
        <f t="shared" si="88"/>
        <v>0.1320238687</v>
      </c>
      <c r="AC58" s="9"/>
      <c r="AE58" s="3"/>
      <c r="AF58" s="8" t="s">
        <v>13</v>
      </c>
      <c r="AG58" s="31">
        <f t="shared" ref="AG58:AL58" si="89">AG32/AG$51</f>
        <v>0.1515273547</v>
      </c>
      <c r="AH58" s="31">
        <f t="shared" si="89"/>
        <v>0.1338003238</v>
      </c>
      <c r="AI58" s="31">
        <f t="shared" si="89"/>
        <v>0.2045567156</v>
      </c>
      <c r="AJ58" s="31">
        <f t="shared" si="89"/>
        <v>0.07630849294</v>
      </c>
      <c r="AK58" s="31">
        <f t="shared" si="89"/>
        <v>0.1556768517</v>
      </c>
      <c r="AL58" s="31">
        <f t="shared" si="89"/>
        <v>0.1307137129</v>
      </c>
      <c r="AM58" s="9"/>
      <c r="AO58" s="3"/>
      <c r="AP58" s="8" t="s">
        <v>13</v>
      </c>
      <c r="AQ58" s="31">
        <f t="shared" ref="AQ58:AV58" si="90">AQ32/AQ$51</f>
        <v>0.1560568785</v>
      </c>
      <c r="AR58" s="31">
        <f t="shared" si="90"/>
        <v>0.09792320315</v>
      </c>
      <c r="AS58" s="31">
        <f t="shared" si="90"/>
        <v>0.1906401607</v>
      </c>
      <c r="AT58" s="31">
        <f t="shared" si="90"/>
        <v>0.0733006609</v>
      </c>
      <c r="AU58" s="31">
        <f t="shared" si="90"/>
        <v>0.1542488732</v>
      </c>
      <c r="AV58" s="31">
        <f t="shared" si="90"/>
        <v>0.1296744687</v>
      </c>
      <c r="AW58" s="9"/>
    </row>
    <row r="59" ht="14.25" customHeight="1">
      <c r="B59" s="8" t="s">
        <v>14</v>
      </c>
      <c r="C59" s="31">
        <f t="shared" ref="C59:H59" si="91">C33/C$51</f>
        <v>0.09504818381</v>
      </c>
      <c r="D59" s="31">
        <f t="shared" si="91"/>
        <v>0.1875459412</v>
      </c>
      <c r="E59" s="31">
        <f t="shared" si="91"/>
        <v>0</v>
      </c>
      <c r="F59" s="31">
        <f t="shared" si="91"/>
        <v>0</v>
      </c>
      <c r="G59" s="31">
        <f t="shared" si="91"/>
        <v>0</v>
      </c>
      <c r="H59" s="31">
        <f t="shared" si="91"/>
        <v>0</v>
      </c>
      <c r="I59" s="9"/>
      <c r="K59" s="3"/>
      <c r="L59" s="8" t="s">
        <v>14</v>
      </c>
      <c r="M59" s="31">
        <f t="shared" ref="M59:R59" si="92">M33/M$51</f>
        <v>0.09818436148</v>
      </c>
      <c r="N59" s="31">
        <f t="shared" si="92"/>
        <v>0.07865259492</v>
      </c>
      <c r="O59" s="31">
        <f t="shared" si="92"/>
        <v>0</v>
      </c>
      <c r="P59" s="31">
        <f t="shared" si="92"/>
        <v>0</v>
      </c>
      <c r="Q59" s="31">
        <f t="shared" si="92"/>
        <v>0</v>
      </c>
      <c r="R59" s="31">
        <f t="shared" si="92"/>
        <v>0</v>
      </c>
      <c r="S59" s="9"/>
      <c r="U59" s="3"/>
      <c r="V59" s="8" t="s">
        <v>14</v>
      </c>
      <c r="W59" s="31">
        <f t="shared" ref="W59:AB59" si="93">W33/W$51</f>
        <v>0.1000854701</v>
      </c>
      <c r="X59" s="31">
        <f t="shared" si="93"/>
        <v>0.1717848685</v>
      </c>
      <c r="Y59" s="31">
        <f t="shared" si="93"/>
        <v>0</v>
      </c>
      <c r="Z59" s="31">
        <f t="shared" si="93"/>
        <v>0</v>
      </c>
      <c r="AA59" s="31">
        <f t="shared" si="93"/>
        <v>0</v>
      </c>
      <c r="AB59" s="31">
        <f t="shared" si="93"/>
        <v>0</v>
      </c>
      <c r="AC59" s="9"/>
      <c r="AE59" s="3"/>
      <c r="AF59" s="8" t="s">
        <v>14</v>
      </c>
      <c r="AG59" s="31">
        <f t="shared" ref="AG59:AL59" si="94">AG33/AG$51</f>
        <v>0.09371350125</v>
      </c>
      <c r="AH59" s="31">
        <f t="shared" si="94"/>
        <v>0.2212406459</v>
      </c>
      <c r="AI59" s="31">
        <f t="shared" si="94"/>
        <v>0</v>
      </c>
      <c r="AJ59" s="31">
        <f t="shared" si="94"/>
        <v>0</v>
      </c>
      <c r="AK59" s="31">
        <f t="shared" si="94"/>
        <v>0</v>
      </c>
      <c r="AL59" s="31">
        <f t="shared" si="94"/>
        <v>0</v>
      </c>
      <c r="AM59" s="9"/>
      <c r="AO59" s="3"/>
      <c r="AP59" s="8" t="s">
        <v>14</v>
      </c>
      <c r="AQ59" s="31">
        <f t="shared" ref="AQ59:AV59" si="95">AQ33/AQ$51</f>
        <v>0.08704183045</v>
      </c>
      <c r="AR59" s="31">
        <f t="shared" si="95"/>
        <v>0.2367267156</v>
      </c>
      <c r="AS59" s="31">
        <f t="shared" si="95"/>
        <v>0</v>
      </c>
      <c r="AT59" s="31">
        <f t="shared" si="95"/>
        <v>0</v>
      </c>
      <c r="AU59" s="31">
        <f t="shared" si="95"/>
        <v>0</v>
      </c>
      <c r="AV59" s="31">
        <f t="shared" si="95"/>
        <v>0</v>
      </c>
      <c r="AW59" s="9"/>
    </row>
    <row r="60" ht="14.25" customHeight="1">
      <c r="B60" s="8" t="s">
        <v>16</v>
      </c>
      <c r="C60" s="31">
        <f t="shared" ref="C60:H60" si="96">C34/C$51</f>
        <v>0.1102223488</v>
      </c>
      <c r="D60" s="31">
        <f t="shared" si="96"/>
        <v>0.06792599889</v>
      </c>
      <c r="E60" s="31">
        <f t="shared" si="96"/>
        <v>0.3719975098</v>
      </c>
      <c r="F60" s="31">
        <f t="shared" si="96"/>
        <v>0.3885589947</v>
      </c>
      <c r="G60" s="31">
        <f t="shared" si="96"/>
        <v>0.1138194175</v>
      </c>
      <c r="H60" s="31">
        <f t="shared" si="96"/>
        <v>0.1183314415</v>
      </c>
      <c r="I60" s="9"/>
      <c r="K60" s="3"/>
      <c r="L60" s="8" t="s">
        <v>16</v>
      </c>
      <c r="M60" s="31">
        <f t="shared" ref="M60:R60" si="97">M34/M$51</f>
        <v>0.1115455451</v>
      </c>
      <c r="N60" s="31">
        <f t="shared" si="97"/>
        <v>0.09680669296</v>
      </c>
      <c r="O60" s="31">
        <f t="shared" si="97"/>
        <v>0.3777259882</v>
      </c>
      <c r="P60" s="31">
        <f t="shared" si="97"/>
        <v>0.4007131623</v>
      </c>
      <c r="Q60" s="31">
        <f t="shared" si="97"/>
        <v>0.1196230809</v>
      </c>
      <c r="R60" s="31">
        <f t="shared" si="97"/>
        <v>0.1196466809</v>
      </c>
      <c r="S60" s="9"/>
      <c r="U60" s="3"/>
      <c r="V60" s="8" t="s">
        <v>16</v>
      </c>
      <c r="W60" s="31">
        <f t="shared" ref="W60:AB60" si="98">W34/W$51</f>
        <v>0.1026150764</v>
      </c>
      <c r="X60" s="31">
        <f t="shared" si="98"/>
        <v>0.09299193201</v>
      </c>
      <c r="Y60" s="31">
        <f t="shared" si="98"/>
        <v>0.3819517882</v>
      </c>
      <c r="Z60" s="31">
        <f t="shared" si="98"/>
        <v>0.4221210227</v>
      </c>
      <c r="AA60" s="31">
        <f t="shared" si="98"/>
        <v>0.1051011227</v>
      </c>
      <c r="AB60" s="31">
        <f t="shared" si="98"/>
        <v>0.1190949776</v>
      </c>
      <c r="AC60" s="9"/>
      <c r="AE60" s="3"/>
      <c r="AF60" s="8" t="s">
        <v>16</v>
      </c>
      <c r="AG60" s="31">
        <f t="shared" ref="AG60:AL60" si="99">AG34/AG$51</f>
        <v>0.097217944</v>
      </c>
      <c r="AH60" s="31">
        <f t="shared" si="99"/>
        <v>0.1221510838</v>
      </c>
      <c r="AI60" s="31">
        <f t="shared" si="99"/>
        <v>0.3787324211</v>
      </c>
      <c r="AJ60" s="31">
        <f t="shared" si="99"/>
        <v>0.4157290385</v>
      </c>
      <c r="AK60" s="31">
        <f t="shared" si="99"/>
        <v>0.1083233619</v>
      </c>
      <c r="AL60" s="31">
        <f t="shared" si="99"/>
        <v>0.1170809944</v>
      </c>
      <c r="AM60" s="9"/>
      <c r="AO60" s="3"/>
      <c r="AP60" s="8" t="s">
        <v>16</v>
      </c>
      <c r="AQ60" s="31">
        <f t="shared" ref="AQ60:AV60" si="100">AQ34/AQ$51</f>
        <v>0.09504510254</v>
      </c>
      <c r="AR60" s="31">
        <f t="shared" si="100"/>
        <v>0.1044100663</v>
      </c>
      <c r="AS60" s="31">
        <f t="shared" si="100"/>
        <v>0.3601514931</v>
      </c>
      <c r="AT60" s="31">
        <f t="shared" si="100"/>
        <v>0.4009964434</v>
      </c>
      <c r="AU60" s="31">
        <f t="shared" si="100"/>
        <v>0.1163106582</v>
      </c>
      <c r="AV60" s="31">
        <f t="shared" si="100"/>
        <v>0.117298897</v>
      </c>
      <c r="AW60" s="9"/>
    </row>
    <row r="61" ht="14.25" customHeight="1">
      <c r="B61" s="8" t="s">
        <v>17</v>
      </c>
      <c r="C61" s="31">
        <f t="shared" ref="C61:H61" si="101">C35/C$51</f>
        <v>0.1006008568</v>
      </c>
      <c r="D61" s="31">
        <f t="shared" si="101"/>
        <v>0.12545531</v>
      </c>
      <c r="E61" s="31">
        <f t="shared" si="101"/>
        <v>0.06166702431</v>
      </c>
      <c r="F61" s="31">
        <f t="shared" si="101"/>
        <v>0.09933270564</v>
      </c>
      <c r="G61" s="31">
        <f t="shared" si="101"/>
        <v>0.1529773838</v>
      </c>
      <c r="H61" s="31">
        <f t="shared" si="101"/>
        <v>0.1217366629</v>
      </c>
      <c r="I61" s="9"/>
      <c r="K61" s="3"/>
      <c r="L61" s="8" t="s">
        <v>17</v>
      </c>
      <c r="M61" s="31">
        <f t="shared" ref="M61:R61" si="102">M35/M$51</f>
        <v>0.1089412305</v>
      </c>
      <c r="N61" s="31">
        <f t="shared" si="102"/>
        <v>0.1111501597</v>
      </c>
      <c r="O61" s="31">
        <f t="shared" si="102"/>
        <v>0.05833503494</v>
      </c>
      <c r="P61" s="31">
        <f t="shared" si="102"/>
        <v>0.09246972319</v>
      </c>
      <c r="Q61" s="31">
        <f t="shared" si="102"/>
        <v>0.151752671</v>
      </c>
      <c r="R61" s="31">
        <f t="shared" si="102"/>
        <v>0.119111349</v>
      </c>
      <c r="S61" s="9"/>
      <c r="U61" s="3"/>
      <c r="V61" s="8" t="s">
        <v>17</v>
      </c>
      <c r="W61" s="31">
        <f t="shared" ref="W61:AB61" si="103">W35/W$51</f>
        <v>0.1073051588</v>
      </c>
      <c r="X61" s="31">
        <f t="shared" si="103"/>
        <v>0.1140130459</v>
      </c>
      <c r="Y61" s="31">
        <f t="shared" si="103"/>
        <v>0.0564956868</v>
      </c>
      <c r="Z61" s="31">
        <f t="shared" si="103"/>
        <v>0.09324024858</v>
      </c>
      <c r="AA61" s="31">
        <f t="shared" si="103"/>
        <v>0.1593443441</v>
      </c>
      <c r="AB61" s="31">
        <f t="shared" si="103"/>
        <v>0.1158627548</v>
      </c>
      <c r="AC61" s="9"/>
      <c r="AE61" s="3"/>
      <c r="AF61" s="8" t="s">
        <v>17</v>
      </c>
      <c r="AG61" s="31">
        <f t="shared" ref="AG61:AL61" si="104">AG35/AG$51</f>
        <v>0.1018861479</v>
      </c>
      <c r="AH61" s="31">
        <f t="shared" si="104"/>
        <v>0.02506396095</v>
      </c>
      <c r="AI61" s="31">
        <f t="shared" si="104"/>
        <v>0.05245667144</v>
      </c>
      <c r="AJ61" s="31">
        <f t="shared" si="104"/>
        <v>0.08800030286</v>
      </c>
      <c r="AK61" s="31">
        <f t="shared" si="104"/>
        <v>0.1521713547</v>
      </c>
      <c r="AL61" s="31">
        <f t="shared" si="104"/>
        <v>0.1205560011</v>
      </c>
      <c r="AM61" s="9"/>
      <c r="AO61" s="3"/>
      <c r="AP61" s="8" t="s">
        <v>17</v>
      </c>
      <c r="AQ61" s="31">
        <f t="shared" ref="AQ61:AV61" si="105">AQ35/AQ$51</f>
        <v>0.0975896168</v>
      </c>
      <c r="AR61" s="31">
        <f t="shared" si="105"/>
        <v>0.02336122805</v>
      </c>
      <c r="AS61" s="31">
        <f t="shared" si="105"/>
        <v>0.06009582511</v>
      </c>
      <c r="AT61" s="31">
        <f t="shared" si="105"/>
        <v>0.1038368741</v>
      </c>
      <c r="AU61" s="31">
        <f t="shared" si="105"/>
        <v>0.1512598308</v>
      </c>
      <c r="AV61" s="31">
        <f t="shared" si="105"/>
        <v>0.1216034436</v>
      </c>
      <c r="AW61" s="9"/>
    </row>
    <row r="62" ht="14.25" customHeight="1">
      <c r="B62" s="8" t="s">
        <v>18</v>
      </c>
      <c r="C62" s="31">
        <f t="shared" ref="C62:H62" si="106">C36/C$51</f>
        <v>0.1300744135</v>
      </c>
      <c r="D62" s="31">
        <f t="shared" si="106"/>
        <v>0.0927523202</v>
      </c>
      <c r="E62" s="31">
        <f t="shared" si="106"/>
        <v>0.03038820785</v>
      </c>
      <c r="F62" s="31">
        <f t="shared" si="106"/>
        <v>0.1042232681</v>
      </c>
      <c r="G62" s="31">
        <f t="shared" si="106"/>
        <v>0.1613559176</v>
      </c>
      <c r="H62" s="31">
        <f t="shared" si="106"/>
        <v>0.1171963678</v>
      </c>
      <c r="I62" s="9"/>
      <c r="K62" s="3"/>
      <c r="L62" s="8" t="s">
        <v>18</v>
      </c>
      <c r="M62" s="31">
        <f t="shared" ref="M62:R62" si="107">M36/M$51</f>
        <v>0.1160210351</v>
      </c>
      <c r="N62" s="31">
        <f t="shared" si="107"/>
        <v>0.1186897393</v>
      </c>
      <c r="O62" s="31">
        <f t="shared" si="107"/>
        <v>0.02991371774</v>
      </c>
      <c r="P62" s="31">
        <f t="shared" si="107"/>
        <v>0.1021207911</v>
      </c>
      <c r="Q62" s="31">
        <f t="shared" si="107"/>
        <v>0.1600194526</v>
      </c>
      <c r="R62" s="31">
        <f t="shared" si="107"/>
        <v>0.1196466809</v>
      </c>
      <c r="S62" s="9"/>
      <c r="U62" s="3"/>
      <c r="V62" s="8" t="s">
        <v>18</v>
      </c>
      <c r="W62" s="31">
        <f t="shared" ref="W62:AB62" si="108">W36/W$51</f>
        <v>0.1146159699</v>
      </c>
      <c r="X62" s="31">
        <f t="shared" si="108"/>
        <v>0.104453919</v>
      </c>
      <c r="Y62" s="31">
        <f t="shared" si="108"/>
        <v>0.02833861585</v>
      </c>
      <c r="Z62" s="31">
        <f t="shared" si="108"/>
        <v>0.09682045762</v>
      </c>
      <c r="AA62" s="31">
        <f t="shared" si="108"/>
        <v>0.1547155348</v>
      </c>
      <c r="AB62" s="31">
        <f t="shared" si="108"/>
        <v>0.1185977126</v>
      </c>
      <c r="AC62" s="9"/>
      <c r="AE62" s="3"/>
      <c r="AF62" s="8" t="s">
        <v>18</v>
      </c>
      <c r="AG62" s="31">
        <f t="shared" ref="AG62:AL62" si="109">AG36/AG$51</f>
        <v>0.1190731077</v>
      </c>
      <c r="AH62" s="31">
        <f t="shared" si="109"/>
        <v>0.1856893734</v>
      </c>
      <c r="AI62" s="31">
        <f t="shared" si="109"/>
        <v>0.02710295754</v>
      </c>
      <c r="AJ62" s="31">
        <f t="shared" si="109"/>
        <v>0.09181160987</v>
      </c>
      <c r="AK62" s="31">
        <f t="shared" si="109"/>
        <v>0.1592035174</v>
      </c>
      <c r="AL62" s="31">
        <f t="shared" si="109"/>
        <v>0.1173483026</v>
      </c>
      <c r="AM62" s="9"/>
      <c r="AO62" s="3"/>
      <c r="AP62" s="8" t="s">
        <v>18</v>
      </c>
      <c r="AQ62" s="31">
        <f t="shared" ref="AQ62:AV62" si="110">AQ36/AQ$51</f>
        <v>0.1244286885</v>
      </c>
      <c r="AR62" s="31">
        <f t="shared" si="110"/>
        <v>0.1767822803</v>
      </c>
      <c r="AS62" s="31">
        <f t="shared" si="110"/>
        <v>0.02319792259</v>
      </c>
      <c r="AT62" s="31">
        <f t="shared" si="110"/>
        <v>0.08318750955</v>
      </c>
      <c r="AU62" s="31">
        <f t="shared" si="110"/>
        <v>0.1429581787</v>
      </c>
      <c r="AV62" s="31">
        <f t="shared" si="110"/>
        <v>0.1162227603</v>
      </c>
      <c r="AW62" s="9"/>
    </row>
    <row r="63" ht="14.25" customHeight="1">
      <c r="B63" s="8" t="s">
        <v>19</v>
      </c>
      <c r="C63" s="31">
        <f t="shared" ref="C63:H63" si="111">C37/C$51</f>
        <v>0.1912564095</v>
      </c>
      <c r="D63" s="31">
        <f t="shared" si="111"/>
        <v>0.2852337913</v>
      </c>
      <c r="E63" s="31">
        <f t="shared" si="111"/>
        <v>0.01564242749</v>
      </c>
      <c r="F63" s="31">
        <f t="shared" si="111"/>
        <v>0.02060906715</v>
      </c>
      <c r="G63" s="31">
        <f t="shared" si="111"/>
        <v>0.08057354228</v>
      </c>
      <c r="H63" s="31">
        <f t="shared" si="111"/>
        <v>0.0309307605</v>
      </c>
      <c r="I63" s="9"/>
      <c r="K63" s="3"/>
      <c r="L63" s="8" t="s">
        <v>19</v>
      </c>
      <c r="M63" s="31">
        <f t="shared" ref="M63:R63" si="112">M37/M$51</f>
        <v>0.1770314633</v>
      </c>
      <c r="N63" s="31">
        <f t="shared" si="112"/>
        <v>0.07298257947</v>
      </c>
      <c r="O63" s="31">
        <f t="shared" si="112"/>
        <v>0.01242847011</v>
      </c>
      <c r="P63" s="31">
        <f t="shared" si="112"/>
        <v>0.01709634333</v>
      </c>
      <c r="Q63" s="31">
        <f t="shared" si="112"/>
        <v>0.07231337497</v>
      </c>
      <c r="R63" s="31">
        <f t="shared" si="112"/>
        <v>0.0374732334</v>
      </c>
      <c r="S63" s="9"/>
      <c r="U63" s="3"/>
      <c r="V63" s="8" t="s">
        <v>19</v>
      </c>
      <c r="W63" s="31">
        <f t="shared" ref="W63:AB63" si="113">W37/W$51</f>
        <v>0.1954648625</v>
      </c>
      <c r="X63" s="31">
        <f t="shared" si="113"/>
        <v>0.08434399059</v>
      </c>
      <c r="Y63" s="31">
        <f t="shared" si="113"/>
        <v>0.01356001858</v>
      </c>
      <c r="Z63" s="31">
        <f t="shared" si="113"/>
        <v>0.01830196125</v>
      </c>
      <c r="AA63" s="31">
        <f t="shared" si="113"/>
        <v>0.07474825396</v>
      </c>
      <c r="AB63" s="31">
        <f t="shared" si="113"/>
        <v>0.0447538538</v>
      </c>
      <c r="AC63" s="9"/>
      <c r="AE63" s="3"/>
      <c r="AF63" s="8" t="s">
        <v>19</v>
      </c>
      <c r="AG63" s="31">
        <f t="shared" ref="AG63:AL63" si="114">AG37/AG$51</f>
        <v>0.2031099509</v>
      </c>
      <c r="AH63" s="31">
        <f t="shared" si="114"/>
        <v>0.1451855158</v>
      </c>
      <c r="AI63" s="31">
        <f t="shared" si="114"/>
        <v>0.01384539156</v>
      </c>
      <c r="AJ63" s="31">
        <f t="shared" si="114"/>
        <v>0.01880943655</v>
      </c>
      <c r="AK63" s="31">
        <f t="shared" si="114"/>
        <v>0.0754367191</v>
      </c>
      <c r="AL63" s="31">
        <f t="shared" si="114"/>
        <v>0.04089815557</v>
      </c>
      <c r="AM63" s="9"/>
      <c r="AO63" s="3"/>
      <c r="AP63" s="8" t="s">
        <v>19</v>
      </c>
      <c r="AQ63" s="31">
        <f t="shared" ref="AQ63:AV63" si="115">AQ37/AQ$51</f>
        <v>0.1919905943</v>
      </c>
      <c r="AR63" s="31">
        <f t="shared" si="115"/>
        <v>0.06948943507</v>
      </c>
      <c r="AS63" s="31">
        <f t="shared" si="115"/>
        <v>0.01266075156</v>
      </c>
      <c r="AT63" s="31">
        <f t="shared" si="115"/>
        <v>0.02032952641</v>
      </c>
      <c r="AU63" s="31">
        <f t="shared" si="115"/>
        <v>0.07572526793</v>
      </c>
      <c r="AV63" s="31">
        <f t="shared" si="115"/>
        <v>0.04223836427</v>
      </c>
      <c r="AW63" s="9"/>
    </row>
    <row r="64" ht="14.25" customHeight="1">
      <c r="B64" s="8" t="s">
        <v>20</v>
      </c>
      <c r="C64" s="31">
        <f t="shared" ref="C64:H64" si="116">C38/C$51</f>
        <v>0.05587283247</v>
      </c>
      <c r="D64" s="31">
        <f t="shared" si="116"/>
        <v>0</v>
      </c>
      <c r="E64" s="31">
        <f t="shared" si="116"/>
        <v>0.04642166658</v>
      </c>
      <c r="F64" s="31">
        <f t="shared" si="116"/>
        <v>0.05784349607</v>
      </c>
      <c r="G64" s="31">
        <f t="shared" si="116"/>
        <v>0.08089676241</v>
      </c>
      <c r="H64" s="31">
        <f t="shared" si="116"/>
        <v>0.1166288309</v>
      </c>
      <c r="I64" s="9"/>
      <c r="K64" s="3"/>
      <c r="L64" s="8" t="s">
        <v>20</v>
      </c>
      <c r="M64" s="31">
        <f t="shared" ref="M64:R64" si="117">M38/M$51</f>
        <v>0.05658543174</v>
      </c>
      <c r="N64" s="31">
        <f t="shared" si="117"/>
        <v>0.1286493458</v>
      </c>
      <c r="O64" s="31">
        <f t="shared" si="117"/>
        <v>0.05162483083</v>
      </c>
      <c r="P64" s="31">
        <f t="shared" si="117"/>
        <v>0.06337378249</v>
      </c>
      <c r="Q64" s="31">
        <f t="shared" si="117"/>
        <v>0.08855970789</v>
      </c>
      <c r="R64" s="31">
        <f t="shared" si="117"/>
        <v>0.1164346895</v>
      </c>
      <c r="S64" s="9"/>
      <c r="U64" s="3"/>
      <c r="V64" s="8" t="s">
        <v>20</v>
      </c>
      <c r="W64" s="31">
        <f t="shared" ref="W64:AB64" si="118">W38/W$51</f>
        <v>0.05009955831</v>
      </c>
      <c r="X64" s="31">
        <f t="shared" si="118"/>
        <v>0</v>
      </c>
      <c r="Y64" s="31">
        <f t="shared" si="118"/>
        <v>0.0475477515</v>
      </c>
      <c r="Z64" s="31">
        <f t="shared" si="118"/>
        <v>0.06338812304</v>
      </c>
      <c r="AA64" s="31">
        <f t="shared" si="118"/>
        <v>0.09079758361</v>
      </c>
      <c r="AB64" s="31">
        <f t="shared" si="118"/>
        <v>0.1245648931</v>
      </c>
      <c r="AC64" s="9"/>
      <c r="AE64" s="3"/>
      <c r="AF64" s="8" t="s">
        <v>20</v>
      </c>
      <c r="AG64" s="31">
        <f t="shared" ref="AG64:AL64" si="119">AG38/AG$51</f>
        <v>0.06380546569</v>
      </c>
      <c r="AH64" s="31">
        <f t="shared" si="119"/>
        <v>0.07052073202</v>
      </c>
      <c r="AI64" s="31">
        <f t="shared" si="119"/>
        <v>0.06748358527</v>
      </c>
      <c r="AJ64" s="31">
        <f t="shared" si="119"/>
        <v>0.08924994408</v>
      </c>
      <c r="AK64" s="31">
        <f t="shared" si="119"/>
        <v>0.1059603906</v>
      </c>
      <c r="AL64" s="31">
        <f t="shared" si="119"/>
        <v>0.1264367816</v>
      </c>
      <c r="AM64" s="9"/>
      <c r="AO64" s="3"/>
      <c r="AP64" s="8" t="s">
        <v>20</v>
      </c>
      <c r="AQ64" s="31">
        <f t="shared" ref="AQ64:AV64" si="120">AQ38/AQ$51</f>
        <v>0.06513975388</v>
      </c>
      <c r="AR64" s="31">
        <f t="shared" si="120"/>
        <v>0</v>
      </c>
      <c r="AS64" s="31">
        <f t="shared" si="120"/>
        <v>0.07054980875</v>
      </c>
      <c r="AT64" s="31">
        <f t="shared" si="120"/>
        <v>0.08713014649</v>
      </c>
      <c r="AU64" s="31">
        <f t="shared" si="120"/>
        <v>0.09968965784</v>
      </c>
      <c r="AV64" s="31">
        <f t="shared" si="120"/>
        <v>0.1261770245</v>
      </c>
      <c r="AW64" s="9"/>
    </row>
    <row r="65" ht="14.25" customHeight="1">
      <c r="B65" s="8" t="s">
        <v>21</v>
      </c>
      <c r="C65" s="31">
        <f t="shared" ref="C65:H65" si="121">C39/C$51</f>
        <v>0</v>
      </c>
      <c r="D65" s="31">
        <f t="shared" si="121"/>
        <v>0.001100888356</v>
      </c>
      <c r="E65" s="31">
        <f t="shared" si="121"/>
        <v>0.07379724022</v>
      </c>
      <c r="F65" s="31">
        <f t="shared" si="121"/>
        <v>0.02001836789</v>
      </c>
      <c r="G65" s="31">
        <f t="shared" si="121"/>
        <v>0.03300590951</v>
      </c>
      <c r="H65" s="31">
        <f t="shared" si="121"/>
        <v>0.160045403</v>
      </c>
      <c r="I65" s="9"/>
      <c r="K65" s="3"/>
      <c r="L65" s="8" t="s">
        <v>21</v>
      </c>
      <c r="M65" s="31">
        <f t="shared" ref="M65:R65" si="122">M39/M$51</f>
        <v>0</v>
      </c>
      <c r="N65" s="31">
        <f t="shared" si="122"/>
        <v>0</v>
      </c>
      <c r="O65" s="31">
        <f t="shared" si="122"/>
        <v>0.08193455772</v>
      </c>
      <c r="P65" s="31">
        <f t="shared" si="122"/>
        <v>0.02318105403</v>
      </c>
      <c r="Q65" s="31">
        <f t="shared" si="122"/>
        <v>0.03319169046</v>
      </c>
      <c r="R65" s="31">
        <f t="shared" si="122"/>
        <v>0.1531049251</v>
      </c>
      <c r="S65" s="9"/>
      <c r="U65" s="3"/>
      <c r="V65" s="8" t="s">
        <v>21</v>
      </c>
      <c r="W65" s="31">
        <f t="shared" ref="W65:AB65" si="123">W39/W$51</f>
        <v>0</v>
      </c>
      <c r="X65" s="31">
        <f t="shared" si="123"/>
        <v>0.1560130565</v>
      </c>
      <c r="Y65" s="31">
        <f t="shared" si="123"/>
        <v>0.1178893223</v>
      </c>
      <c r="Z65" s="31">
        <f t="shared" si="123"/>
        <v>0.04011732383</v>
      </c>
      <c r="AA65" s="31">
        <f t="shared" si="123"/>
        <v>0.05022095524</v>
      </c>
      <c r="AB65" s="31">
        <f t="shared" si="123"/>
        <v>0.1471904525</v>
      </c>
      <c r="AC65" s="9"/>
      <c r="AE65" s="3"/>
      <c r="AF65" s="8" t="s">
        <v>21</v>
      </c>
      <c r="AG65" s="31">
        <f t="shared" ref="AG65:AL65" si="124">AG39/AG$51</f>
        <v>0</v>
      </c>
      <c r="AH65" s="31">
        <f t="shared" si="124"/>
        <v>0</v>
      </c>
      <c r="AI65" s="31">
        <f t="shared" si="124"/>
        <v>0.09708853767</v>
      </c>
      <c r="AJ65" s="31">
        <f t="shared" si="124"/>
        <v>0.0323358262</v>
      </c>
      <c r="AK65" s="31">
        <f t="shared" si="124"/>
        <v>0.04142586782</v>
      </c>
      <c r="AL65" s="31">
        <f t="shared" si="124"/>
        <v>0.1504945202</v>
      </c>
      <c r="AM65" s="9"/>
      <c r="AO65" s="3"/>
      <c r="AP65" s="8" t="s">
        <v>21</v>
      </c>
      <c r="AQ65" s="31">
        <f t="shared" ref="AQ65:AV65" si="125">AQ39/AQ$51</f>
        <v>0</v>
      </c>
      <c r="AR65" s="31">
        <f t="shared" si="125"/>
        <v>0.04200193366</v>
      </c>
      <c r="AS65" s="31">
        <f t="shared" si="125"/>
        <v>0.1174140818</v>
      </c>
      <c r="AT65" s="31">
        <f t="shared" si="125"/>
        <v>0.03919832883</v>
      </c>
      <c r="AU65" s="31">
        <f t="shared" si="125"/>
        <v>0.04927368622</v>
      </c>
      <c r="AV65" s="31">
        <f t="shared" si="125"/>
        <v>0.1487758945</v>
      </c>
      <c r="AW65" s="9"/>
    </row>
    <row r="66" ht="14.25" customHeight="1">
      <c r="C66" s="31"/>
      <c r="D66" s="31"/>
      <c r="E66" s="31"/>
      <c r="F66" s="31"/>
      <c r="G66" s="31"/>
      <c r="H66" s="31"/>
      <c r="I66" s="9"/>
      <c r="K66" s="3"/>
      <c r="M66" s="31"/>
      <c r="N66" s="31"/>
      <c r="O66" s="31"/>
      <c r="P66" s="31"/>
      <c r="Q66" s="31"/>
      <c r="R66" s="34"/>
      <c r="S66" s="9"/>
      <c r="U66" s="3"/>
      <c r="W66" s="31"/>
      <c r="X66" s="31"/>
      <c r="Y66" s="31"/>
      <c r="Z66" s="31"/>
      <c r="AA66" s="31"/>
      <c r="AB66" s="34"/>
      <c r="AC66" s="9"/>
      <c r="AE66" s="3"/>
      <c r="AG66" s="31"/>
      <c r="AH66" s="31"/>
      <c r="AI66" s="31"/>
      <c r="AJ66" s="31"/>
      <c r="AK66" s="31"/>
      <c r="AL66" s="34"/>
      <c r="AM66" s="9"/>
      <c r="AO66" s="3"/>
      <c r="AQ66" s="31"/>
      <c r="AR66" s="31"/>
      <c r="AS66" s="31"/>
      <c r="AT66" s="31"/>
      <c r="AU66" s="31"/>
      <c r="AV66" s="34"/>
      <c r="AW66" s="9"/>
    </row>
    <row r="67" ht="14.25" customHeight="1">
      <c r="C67" s="31"/>
      <c r="D67" s="31"/>
      <c r="E67" s="31"/>
      <c r="F67" s="31"/>
      <c r="G67" s="31"/>
      <c r="H67" s="31"/>
      <c r="I67" s="9"/>
      <c r="K67" s="3"/>
      <c r="M67" s="31"/>
      <c r="N67" s="31"/>
      <c r="O67" s="31"/>
      <c r="P67" s="31"/>
      <c r="Q67" s="31"/>
      <c r="R67" s="34"/>
      <c r="S67" s="9"/>
      <c r="U67" s="3"/>
      <c r="W67" s="31"/>
      <c r="X67" s="31"/>
      <c r="Y67" s="31"/>
      <c r="Z67" s="31"/>
      <c r="AA67" s="31"/>
      <c r="AB67" s="34"/>
      <c r="AC67" s="9"/>
      <c r="AE67" s="3"/>
      <c r="AG67" s="31"/>
      <c r="AH67" s="31"/>
      <c r="AI67" s="31"/>
      <c r="AJ67" s="31"/>
      <c r="AK67" s="31"/>
      <c r="AL67" s="34"/>
      <c r="AM67" s="9"/>
      <c r="AO67" s="3"/>
      <c r="AQ67" s="31"/>
      <c r="AR67" s="31"/>
      <c r="AS67" s="31"/>
      <c r="AT67" s="31"/>
      <c r="AU67" s="31"/>
      <c r="AV67" s="34"/>
      <c r="AW67" s="9"/>
    </row>
    <row r="68" ht="14.25" customHeight="1">
      <c r="C68" s="31"/>
      <c r="D68" s="31"/>
      <c r="E68" s="31"/>
      <c r="F68" s="31"/>
      <c r="G68" s="31"/>
      <c r="H68" s="31"/>
      <c r="I68" s="9"/>
      <c r="K68" s="3"/>
      <c r="M68" s="31"/>
      <c r="N68" s="31"/>
      <c r="O68" s="31"/>
      <c r="P68" s="31"/>
      <c r="Q68" s="31"/>
      <c r="R68" s="34"/>
      <c r="S68" s="9"/>
      <c r="U68" s="3"/>
      <c r="W68" s="31"/>
      <c r="X68" s="31"/>
      <c r="Y68" s="31"/>
      <c r="Z68" s="31"/>
      <c r="AA68" s="31"/>
      <c r="AB68" s="34"/>
      <c r="AC68" s="9"/>
      <c r="AE68" s="3"/>
      <c r="AG68" s="31"/>
      <c r="AH68" s="31"/>
      <c r="AI68" s="31"/>
      <c r="AJ68" s="31"/>
      <c r="AK68" s="31"/>
      <c r="AL68" s="34"/>
      <c r="AM68" s="9"/>
      <c r="AO68" s="3"/>
      <c r="AQ68" s="31"/>
      <c r="AR68" s="31"/>
      <c r="AS68" s="31"/>
      <c r="AT68" s="31"/>
      <c r="AU68" s="31"/>
      <c r="AV68" s="34"/>
      <c r="AW68" s="9"/>
    </row>
    <row r="69" ht="14.25" customHeight="1">
      <c r="C69" s="31"/>
      <c r="D69" s="31"/>
      <c r="E69" s="31"/>
      <c r="F69" s="31"/>
      <c r="G69" s="31"/>
      <c r="H69" s="31"/>
      <c r="I69" s="9"/>
      <c r="K69" s="3"/>
      <c r="M69" s="31"/>
      <c r="N69" s="31"/>
      <c r="O69" s="31"/>
      <c r="P69" s="31"/>
      <c r="Q69" s="31"/>
      <c r="R69" s="34"/>
      <c r="S69" s="9"/>
      <c r="U69" s="3"/>
      <c r="W69" s="31"/>
      <c r="X69" s="31"/>
      <c r="Y69" s="31"/>
      <c r="Z69" s="31"/>
      <c r="AA69" s="31"/>
      <c r="AB69" s="34"/>
      <c r="AC69" s="9"/>
      <c r="AE69" s="3"/>
      <c r="AG69" s="31"/>
      <c r="AH69" s="31"/>
      <c r="AI69" s="31"/>
      <c r="AJ69" s="31"/>
      <c r="AK69" s="31"/>
      <c r="AL69" s="34"/>
      <c r="AM69" s="9"/>
      <c r="AO69" s="3"/>
      <c r="AQ69" s="31"/>
      <c r="AR69" s="31"/>
      <c r="AS69" s="31"/>
      <c r="AT69" s="31"/>
      <c r="AU69" s="31"/>
      <c r="AV69" s="34"/>
      <c r="AW69" s="9"/>
    </row>
    <row r="70" ht="14.25" customHeight="1">
      <c r="C70" s="31"/>
      <c r="D70" s="31"/>
      <c r="E70" s="31"/>
      <c r="F70" s="31"/>
      <c r="G70" s="31"/>
      <c r="H70" s="31"/>
      <c r="I70" s="9"/>
      <c r="K70" s="3"/>
      <c r="M70" s="31"/>
      <c r="N70" s="31"/>
      <c r="O70" s="31"/>
      <c r="P70" s="31"/>
      <c r="Q70" s="31"/>
      <c r="R70" s="34"/>
      <c r="S70" s="9"/>
      <c r="U70" s="3"/>
      <c r="W70" s="31"/>
      <c r="X70" s="31"/>
      <c r="Y70" s="31"/>
      <c r="Z70" s="31"/>
      <c r="AA70" s="31"/>
      <c r="AB70" s="34"/>
      <c r="AC70" s="9"/>
      <c r="AE70" s="3"/>
      <c r="AG70" s="31"/>
      <c r="AH70" s="31"/>
      <c r="AI70" s="31"/>
      <c r="AJ70" s="31"/>
      <c r="AK70" s="31"/>
      <c r="AL70" s="34"/>
      <c r="AM70" s="9"/>
      <c r="AO70" s="3"/>
      <c r="AQ70" s="31"/>
      <c r="AR70" s="31"/>
      <c r="AS70" s="31"/>
      <c r="AT70" s="31"/>
      <c r="AU70" s="31"/>
      <c r="AV70" s="34"/>
      <c r="AW70" s="9"/>
    </row>
    <row r="71" ht="14.25" customHeight="1">
      <c r="C71" s="31"/>
      <c r="D71" s="31"/>
      <c r="E71" s="31"/>
      <c r="F71" s="31"/>
      <c r="G71" s="31"/>
      <c r="H71" s="31"/>
      <c r="I71" s="9"/>
      <c r="K71" s="3"/>
      <c r="M71" s="31"/>
      <c r="N71" s="31"/>
      <c r="O71" s="31"/>
      <c r="P71" s="31"/>
      <c r="Q71" s="31"/>
      <c r="R71" s="34"/>
      <c r="S71" s="9"/>
      <c r="U71" s="3"/>
      <c r="W71" s="31"/>
      <c r="X71" s="31"/>
      <c r="Y71" s="31"/>
      <c r="Z71" s="31"/>
      <c r="AA71" s="31"/>
      <c r="AB71" s="34"/>
      <c r="AC71" s="9"/>
      <c r="AE71" s="3"/>
      <c r="AG71" s="31"/>
      <c r="AH71" s="31"/>
      <c r="AI71" s="31"/>
      <c r="AJ71" s="31"/>
      <c r="AK71" s="31"/>
      <c r="AL71" s="34"/>
      <c r="AM71" s="9"/>
      <c r="AO71" s="3"/>
      <c r="AQ71" s="31"/>
      <c r="AR71" s="31"/>
      <c r="AS71" s="31"/>
      <c r="AT71" s="31"/>
      <c r="AU71" s="31"/>
      <c r="AV71" s="34"/>
      <c r="AW71" s="9"/>
    </row>
    <row r="72" ht="14.25" customHeight="1">
      <c r="C72" s="31"/>
      <c r="D72" s="31"/>
      <c r="E72" s="31"/>
      <c r="F72" s="31"/>
      <c r="G72" s="31"/>
      <c r="H72" s="31"/>
      <c r="I72" s="9"/>
      <c r="K72" s="3"/>
      <c r="M72" s="31"/>
      <c r="N72" s="31"/>
      <c r="O72" s="31"/>
      <c r="P72" s="31"/>
      <c r="Q72" s="31"/>
      <c r="R72" s="34"/>
      <c r="S72" s="9"/>
      <c r="U72" s="3"/>
      <c r="W72" s="31"/>
      <c r="X72" s="31"/>
      <c r="Y72" s="31"/>
      <c r="Z72" s="31"/>
      <c r="AA72" s="31"/>
      <c r="AB72" s="34"/>
      <c r="AC72" s="9"/>
      <c r="AE72" s="3"/>
      <c r="AG72" s="31"/>
      <c r="AH72" s="31"/>
      <c r="AI72" s="31"/>
      <c r="AJ72" s="31"/>
      <c r="AK72" s="31"/>
      <c r="AL72" s="34"/>
      <c r="AM72" s="9"/>
      <c r="AO72" s="3"/>
      <c r="AQ72" s="31"/>
      <c r="AR72" s="31"/>
      <c r="AS72" s="31"/>
      <c r="AT72" s="31"/>
      <c r="AU72" s="31"/>
      <c r="AV72" s="34"/>
      <c r="AW72" s="9"/>
    </row>
    <row r="73" ht="14.25" customHeight="1">
      <c r="C73" s="31"/>
      <c r="D73" s="31"/>
      <c r="E73" s="31"/>
      <c r="F73" s="31"/>
      <c r="G73" s="31"/>
      <c r="H73" s="31"/>
      <c r="I73" s="9"/>
      <c r="K73" s="3"/>
      <c r="M73" s="31"/>
      <c r="N73" s="31"/>
      <c r="O73" s="31"/>
      <c r="P73" s="31"/>
      <c r="Q73" s="31"/>
      <c r="R73" s="34"/>
      <c r="S73" s="9"/>
      <c r="U73" s="3"/>
      <c r="W73" s="31"/>
      <c r="X73" s="31"/>
      <c r="Y73" s="31"/>
      <c r="Z73" s="31"/>
      <c r="AA73" s="31"/>
      <c r="AB73" s="34"/>
      <c r="AC73" s="9"/>
      <c r="AE73" s="3"/>
      <c r="AG73" s="31"/>
      <c r="AH73" s="31"/>
      <c r="AI73" s="31"/>
      <c r="AJ73" s="31"/>
      <c r="AK73" s="31"/>
      <c r="AL73" s="34"/>
      <c r="AM73" s="9"/>
      <c r="AO73" s="3"/>
      <c r="AQ73" s="31"/>
      <c r="AR73" s="31"/>
      <c r="AS73" s="31"/>
      <c r="AT73" s="31"/>
      <c r="AU73" s="31"/>
      <c r="AV73" s="34"/>
      <c r="AW73" s="9"/>
    </row>
    <row r="74" ht="14.25" customHeight="1">
      <c r="C74" s="31"/>
      <c r="D74" s="31"/>
      <c r="E74" s="31"/>
      <c r="F74" s="31"/>
      <c r="G74" s="31"/>
      <c r="H74" s="31"/>
      <c r="I74" s="9"/>
      <c r="K74" s="3"/>
      <c r="M74" s="31"/>
      <c r="N74" s="31"/>
      <c r="O74" s="31"/>
      <c r="P74" s="31"/>
      <c r="Q74" s="31"/>
      <c r="R74" s="34"/>
      <c r="S74" s="9"/>
      <c r="U74" s="3"/>
      <c r="W74" s="31"/>
      <c r="X74" s="31"/>
      <c r="Y74" s="31"/>
      <c r="Z74" s="31"/>
      <c r="AA74" s="31"/>
      <c r="AB74" s="34"/>
      <c r="AC74" s="9"/>
      <c r="AE74" s="3"/>
      <c r="AG74" s="31"/>
      <c r="AH74" s="31"/>
      <c r="AI74" s="31"/>
      <c r="AJ74" s="31"/>
      <c r="AK74" s="31"/>
      <c r="AL74" s="34"/>
      <c r="AM74" s="9"/>
      <c r="AO74" s="3"/>
      <c r="AQ74" s="31"/>
      <c r="AR74" s="31"/>
      <c r="AS74" s="31"/>
      <c r="AT74" s="31"/>
      <c r="AU74" s="31"/>
      <c r="AV74" s="34"/>
      <c r="AW74" s="9"/>
    </row>
    <row r="75" ht="14.25" customHeight="1">
      <c r="C75" s="31"/>
      <c r="D75" s="31"/>
      <c r="E75" s="31"/>
      <c r="F75" s="31"/>
      <c r="G75" s="31"/>
      <c r="H75" s="31"/>
      <c r="I75" s="9"/>
      <c r="K75" s="3"/>
      <c r="M75" s="31"/>
      <c r="N75" s="31"/>
      <c r="O75" s="31"/>
      <c r="P75" s="31"/>
      <c r="Q75" s="31"/>
      <c r="R75" s="34"/>
      <c r="S75" s="9"/>
      <c r="U75" s="3"/>
      <c r="W75" s="31"/>
      <c r="X75" s="31"/>
      <c r="Y75" s="31"/>
      <c r="Z75" s="31"/>
      <c r="AA75" s="31"/>
      <c r="AB75" s="34"/>
      <c r="AC75" s="9"/>
      <c r="AE75" s="3"/>
      <c r="AG75" s="31"/>
      <c r="AH75" s="31"/>
      <c r="AI75" s="31"/>
      <c r="AJ75" s="31"/>
      <c r="AK75" s="31"/>
      <c r="AL75" s="34"/>
      <c r="AM75" s="9"/>
      <c r="AO75" s="3"/>
      <c r="AQ75" s="31"/>
      <c r="AR75" s="31"/>
      <c r="AS75" s="31"/>
      <c r="AT75" s="31"/>
      <c r="AU75" s="31"/>
      <c r="AV75" s="34"/>
      <c r="AW75" s="9"/>
    </row>
    <row r="76" ht="14.25" customHeight="1">
      <c r="C76" s="31"/>
      <c r="D76" s="31"/>
      <c r="E76" s="31"/>
      <c r="F76" s="31"/>
      <c r="G76" s="31"/>
      <c r="H76" s="31"/>
      <c r="I76" s="9"/>
      <c r="K76" s="3"/>
      <c r="M76" s="31"/>
      <c r="N76" s="31"/>
      <c r="O76" s="31"/>
      <c r="P76" s="31"/>
      <c r="Q76" s="31"/>
      <c r="R76" s="34"/>
      <c r="S76" s="9"/>
      <c r="U76" s="3"/>
      <c r="W76" s="31"/>
      <c r="X76" s="31"/>
      <c r="Y76" s="31"/>
      <c r="Z76" s="31"/>
      <c r="AA76" s="31"/>
      <c r="AB76" s="34"/>
      <c r="AC76" s="9"/>
      <c r="AE76" s="3"/>
      <c r="AG76" s="31"/>
      <c r="AH76" s="31"/>
      <c r="AI76" s="31"/>
      <c r="AJ76" s="31"/>
      <c r="AK76" s="31"/>
      <c r="AL76" s="34"/>
      <c r="AM76" s="9"/>
      <c r="AO76" s="3"/>
      <c r="AQ76" s="31"/>
      <c r="AR76" s="31"/>
      <c r="AS76" s="31"/>
      <c r="AT76" s="31"/>
      <c r="AU76" s="31"/>
      <c r="AV76" s="34"/>
      <c r="AW76" s="9"/>
    </row>
    <row r="77" ht="14.25" customHeight="1">
      <c r="B77" s="1" t="s">
        <v>47</v>
      </c>
      <c r="C77" s="31">
        <f t="shared" ref="C77:H77" si="126">SUM(C56:C76)</f>
        <v>1</v>
      </c>
      <c r="D77" s="31">
        <f t="shared" si="126"/>
        <v>1</v>
      </c>
      <c r="E77" s="31">
        <f t="shared" si="126"/>
        <v>1</v>
      </c>
      <c r="F77" s="31">
        <f t="shared" si="126"/>
        <v>1</v>
      </c>
      <c r="G77" s="31">
        <f t="shared" si="126"/>
        <v>1</v>
      </c>
      <c r="H77" s="31">
        <f t="shared" si="126"/>
        <v>1</v>
      </c>
      <c r="I77" s="9"/>
      <c r="K77" s="3"/>
      <c r="L77" s="1" t="s">
        <v>47</v>
      </c>
      <c r="M77" s="31">
        <f t="shared" ref="M77:R77" si="127">SUM(M56:M76)</f>
        <v>1</v>
      </c>
      <c r="N77" s="31">
        <f t="shared" si="127"/>
        <v>1</v>
      </c>
      <c r="O77" s="31">
        <f t="shared" si="127"/>
        <v>1</v>
      </c>
      <c r="P77" s="31">
        <f t="shared" si="127"/>
        <v>1</v>
      </c>
      <c r="Q77" s="31">
        <f t="shared" si="127"/>
        <v>1</v>
      </c>
      <c r="R77" s="31">
        <f t="shared" si="127"/>
        <v>1</v>
      </c>
      <c r="S77" s="9"/>
      <c r="U77" s="3"/>
      <c r="V77" s="1" t="s">
        <v>47</v>
      </c>
      <c r="W77" s="31">
        <f t="shared" ref="W77:AB77" si="128">SUM(W56:W76)</f>
        <v>1</v>
      </c>
      <c r="X77" s="31">
        <f t="shared" si="128"/>
        <v>1</v>
      </c>
      <c r="Y77" s="31">
        <f t="shared" si="128"/>
        <v>1</v>
      </c>
      <c r="Z77" s="31">
        <f t="shared" si="128"/>
        <v>1</v>
      </c>
      <c r="AA77" s="31">
        <f t="shared" si="128"/>
        <v>1</v>
      </c>
      <c r="AB77" s="31">
        <f t="shared" si="128"/>
        <v>1</v>
      </c>
      <c r="AC77" s="9"/>
      <c r="AE77" s="3"/>
      <c r="AF77" s="1" t="s">
        <v>47</v>
      </c>
      <c r="AG77" s="31">
        <f t="shared" ref="AG77:AL77" si="129">SUM(AG56:AG76)</f>
        <v>1</v>
      </c>
      <c r="AH77" s="31">
        <f t="shared" si="129"/>
        <v>1</v>
      </c>
      <c r="AI77" s="31">
        <f t="shared" si="129"/>
        <v>1</v>
      </c>
      <c r="AJ77" s="31">
        <f t="shared" si="129"/>
        <v>1</v>
      </c>
      <c r="AK77" s="31">
        <f t="shared" si="129"/>
        <v>1</v>
      </c>
      <c r="AL77" s="31">
        <f t="shared" si="129"/>
        <v>1</v>
      </c>
      <c r="AM77" s="9"/>
      <c r="AO77" s="3"/>
      <c r="AP77" s="1" t="s">
        <v>47</v>
      </c>
      <c r="AQ77" s="31">
        <f t="shared" ref="AQ77:AV77" si="130">SUM(AQ56:AQ76)</f>
        <v>1</v>
      </c>
      <c r="AR77" s="31">
        <f t="shared" si="130"/>
        <v>1</v>
      </c>
      <c r="AS77" s="31">
        <f t="shared" si="130"/>
        <v>1</v>
      </c>
      <c r="AT77" s="31">
        <f t="shared" si="130"/>
        <v>1</v>
      </c>
      <c r="AU77" s="31">
        <f t="shared" si="130"/>
        <v>1</v>
      </c>
      <c r="AV77" s="31">
        <f t="shared" si="130"/>
        <v>1</v>
      </c>
      <c r="AW77" s="9"/>
    </row>
    <row r="78" ht="14.25" customHeight="1">
      <c r="C78" s="9"/>
      <c r="D78" s="9"/>
      <c r="E78" s="9"/>
      <c r="F78" s="9"/>
      <c r="G78" s="9"/>
      <c r="H78" s="16"/>
      <c r="I78" s="9"/>
      <c r="K78" s="3"/>
      <c r="M78" s="9"/>
      <c r="N78" s="9"/>
      <c r="O78" s="9"/>
      <c r="P78" s="9"/>
      <c r="Q78" s="9"/>
      <c r="R78" s="16"/>
      <c r="S78" s="9"/>
      <c r="U78" s="3"/>
      <c r="W78" s="9"/>
      <c r="X78" s="9"/>
      <c r="Y78" s="9"/>
      <c r="Z78" s="9"/>
      <c r="AA78" s="9"/>
      <c r="AB78" s="16"/>
      <c r="AC78" s="9"/>
      <c r="AE78" s="3"/>
      <c r="AG78" s="9"/>
      <c r="AH78" s="9"/>
      <c r="AI78" s="9"/>
      <c r="AJ78" s="9"/>
      <c r="AK78" s="9"/>
      <c r="AL78" s="16"/>
      <c r="AM78" s="9"/>
      <c r="AO78" s="3"/>
      <c r="AQ78" s="9"/>
      <c r="AR78" s="9"/>
      <c r="AS78" s="9"/>
      <c r="AT78" s="9"/>
      <c r="AU78" s="9"/>
      <c r="AV78" s="16"/>
      <c r="AW78" s="9"/>
    </row>
    <row r="79" ht="14.25" customHeight="1">
      <c r="B79" s="33" t="s">
        <v>79</v>
      </c>
      <c r="C79" s="9"/>
      <c r="D79" s="9"/>
      <c r="E79" s="9"/>
      <c r="F79" s="9"/>
      <c r="G79" s="9"/>
      <c r="H79" s="16"/>
      <c r="I79" s="9"/>
      <c r="K79" s="3"/>
      <c r="L79" s="33" t="s">
        <v>79</v>
      </c>
      <c r="M79" s="9"/>
      <c r="N79" s="9"/>
      <c r="O79" s="9"/>
      <c r="P79" s="9"/>
      <c r="Q79" s="9"/>
      <c r="R79" s="16"/>
      <c r="S79" s="9"/>
      <c r="U79" s="3"/>
      <c r="V79" s="33" t="s">
        <v>79</v>
      </c>
      <c r="W79" s="9"/>
      <c r="X79" s="9"/>
      <c r="Y79" s="9"/>
      <c r="Z79" s="9"/>
      <c r="AA79" s="9"/>
      <c r="AB79" s="16"/>
      <c r="AC79" s="9"/>
      <c r="AE79" s="3"/>
      <c r="AF79" s="33" t="s">
        <v>79</v>
      </c>
      <c r="AG79" s="9"/>
      <c r="AH79" s="9"/>
      <c r="AI79" s="9"/>
      <c r="AJ79" s="9"/>
      <c r="AK79" s="9"/>
      <c r="AL79" s="16"/>
      <c r="AM79" s="9"/>
      <c r="AO79" s="3"/>
      <c r="AP79" s="33" t="s">
        <v>79</v>
      </c>
      <c r="AQ79" s="9"/>
      <c r="AR79" s="9"/>
      <c r="AS79" s="9"/>
      <c r="AT79" s="9"/>
      <c r="AU79" s="9"/>
      <c r="AV79" s="16"/>
      <c r="AW79" s="9"/>
    </row>
    <row r="80" ht="14.25" customHeight="1">
      <c r="B80" s="1" t="s">
        <v>32</v>
      </c>
      <c r="C80" s="9" t="s">
        <v>33</v>
      </c>
      <c r="D80" s="9" t="s">
        <v>34</v>
      </c>
      <c r="E80" s="9" t="s">
        <v>35</v>
      </c>
      <c r="F80" s="9" t="s">
        <v>36</v>
      </c>
      <c r="G80" s="9" t="s">
        <v>37</v>
      </c>
      <c r="H80" s="16" t="s">
        <v>39</v>
      </c>
      <c r="I80" s="9"/>
      <c r="K80" s="3"/>
      <c r="L80" s="1" t="s">
        <v>32</v>
      </c>
      <c r="M80" s="9" t="s">
        <v>33</v>
      </c>
      <c r="N80" s="9" t="s">
        <v>34</v>
      </c>
      <c r="O80" s="9" t="s">
        <v>35</v>
      </c>
      <c r="P80" s="9" t="s">
        <v>36</v>
      </c>
      <c r="Q80" s="9" t="s">
        <v>37</v>
      </c>
      <c r="R80" s="16" t="s">
        <v>39</v>
      </c>
      <c r="S80" s="9"/>
      <c r="U80" s="3"/>
      <c r="V80" s="1" t="s">
        <v>32</v>
      </c>
      <c r="W80" s="9" t="s">
        <v>33</v>
      </c>
      <c r="X80" s="9" t="s">
        <v>34</v>
      </c>
      <c r="Y80" s="9" t="s">
        <v>35</v>
      </c>
      <c r="Z80" s="9" t="s">
        <v>36</v>
      </c>
      <c r="AA80" s="9" t="s">
        <v>37</v>
      </c>
      <c r="AB80" s="16" t="s">
        <v>39</v>
      </c>
      <c r="AC80" s="9"/>
      <c r="AE80" s="3"/>
      <c r="AF80" s="1" t="s">
        <v>32</v>
      </c>
      <c r="AG80" s="9" t="s">
        <v>33</v>
      </c>
      <c r="AH80" s="9" t="s">
        <v>34</v>
      </c>
      <c r="AI80" s="9" t="s">
        <v>35</v>
      </c>
      <c r="AJ80" s="9" t="s">
        <v>36</v>
      </c>
      <c r="AK80" s="9" t="s">
        <v>37</v>
      </c>
      <c r="AL80" s="16" t="s">
        <v>39</v>
      </c>
      <c r="AM80" s="9"/>
      <c r="AO80" s="3"/>
      <c r="AP80" s="1" t="s">
        <v>32</v>
      </c>
      <c r="AQ80" s="9" t="s">
        <v>33</v>
      </c>
      <c r="AR80" s="9" t="s">
        <v>34</v>
      </c>
      <c r="AS80" s="9" t="s">
        <v>35</v>
      </c>
      <c r="AT80" s="9" t="s">
        <v>36</v>
      </c>
      <c r="AU80" s="9" t="s">
        <v>37</v>
      </c>
      <c r="AV80" s="16" t="s">
        <v>39</v>
      </c>
      <c r="AW80" s="9"/>
    </row>
    <row r="81" ht="14.25" customHeight="1">
      <c r="B81" s="8" t="s">
        <v>9</v>
      </c>
      <c r="C81" s="31">
        <f t="shared" ref="C81:H81" si="131">IF(C56=0,0,C56*LN(C56))</f>
        <v>-0.2271824224</v>
      </c>
      <c r="D81" s="31">
        <f t="shared" si="131"/>
        <v>-0.09192630693</v>
      </c>
      <c r="E81" s="31">
        <f t="shared" si="131"/>
        <v>-0.01511352738</v>
      </c>
      <c r="F81" s="31">
        <f t="shared" si="131"/>
        <v>-0.06695740834</v>
      </c>
      <c r="G81" s="31">
        <f t="shared" si="131"/>
        <v>-0.1299281807</v>
      </c>
      <c r="H81" s="31">
        <f t="shared" si="131"/>
        <v>-0.1977132742</v>
      </c>
      <c r="I81" s="9"/>
      <c r="K81" s="3"/>
      <c r="L81" s="8" t="s">
        <v>9</v>
      </c>
      <c r="M81" s="31">
        <f t="shared" ref="M81:R81" si="132">IF(M56=0,0,M56*LN(M56))</f>
        <v>-0.2411456182</v>
      </c>
      <c r="N81" s="31">
        <f t="shared" si="132"/>
        <v>-0.2552430674</v>
      </c>
      <c r="O81" s="31">
        <f t="shared" si="132"/>
        <v>-0.0160994636</v>
      </c>
      <c r="P81" s="31">
        <f t="shared" si="132"/>
        <v>-0.07177051899</v>
      </c>
      <c r="Q81" s="31">
        <f t="shared" si="132"/>
        <v>-0.1343571231</v>
      </c>
      <c r="R81" s="31">
        <f t="shared" si="132"/>
        <v>-0.1950346819</v>
      </c>
      <c r="S81" s="9"/>
      <c r="U81" s="3"/>
      <c r="V81" s="8" t="s">
        <v>9</v>
      </c>
      <c r="W81" s="31">
        <f t="shared" ref="W81:AB81" si="133">IF(W56=0,0,W56*LN(W56))</f>
        <v>-0.2397747922</v>
      </c>
      <c r="X81" s="31">
        <f t="shared" si="133"/>
        <v>-0.2449418101</v>
      </c>
      <c r="Y81" s="31">
        <f t="shared" si="133"/>
        <v>-0.01528637701</v>
      </c>
      <c r="Z81" s="31">
        <f t="shared" si="133"/>
        <v>-0.06533258053</v>
      </c>
      <c r="AA81" s="31">
        <f t="shared" si="133"/>
        <v>-0.1400842434</v>
      </c>
      <c r="AB81" s="31">
        <f t="shared" si="133"/>
        <v>-0.1944083742</v>
      </c>
      <c r="AC81" s="9"/>
      <c r="AE81" s="3"/>
      <c r="AF81" s="8" t="s">
        <v>9</v>
      </c>
      <c r="AG81" s="31">
        <f t="shared" ref="AG81:AL81" si="134">IF(AG56=0,0,AG56*LN(AG56))</f>
        <v>-0.2288345035</v>
      </c>
      <c r="AH81" s="31">
        <f t="shared" si="134"/>
        <v>-0.08652551853</v>
      </c>
      <c r="AI81" s="31">
        <f t="shared" si="134"/>
        <v>-0.01449027497</v>
      </c>
      <c r="AJ81" s="31">
        <f t="shared" si="134"/>
        <v>-0.06409080035</v>
      </c>
      <c r="AK81" s="31">
        <f t="shared" si="134"/>
        <v>-0.1235053956</v>
      </c>
      <c r="AL81" s="31">
        <f t="shared" si="134"/>
        <v>-0.1927442213</v>
      </c>
      <c r="AM81" s="9"/>
      <c r="AO81" s="3"/>
      <c r="AP81" s="8" t="s">
        <v>9</v>
      </c>
      <c r="AQ81" s="31">
        <f t="shared" ref="AQ81:AV81" si="135">IF(AQ56=0,0,AQ56*LN(AQ56))</f>
        <v>-0.239930271</v>
      </c>
      <c r="AR81" s="31">
        <f t="shared" si="135"/>
        <v>-0.292418805</v>
      </c>
      <c r="AS81" s="31">
        <f t="shared" si="135"/>
        <v>-0.01635751499</v>
      </c>
      <c r="AT81" s="31">
        <f t="shared" si="135"/>
        <v>-0.07603544281</v>
      </c>
      <c r="AU81" s="31">
        <f t="shared" si="135"/>
        <v>-0.1465222398</v>
      </c>
      <c r="AV81" s="31">
        <f t="shared" si="135"/>
        <v>-0.1930790638</v>
      </c>
      <c r="AW81" s="9"/>
    </row>
    <row r="82" ht="14.25" customHeight="1">
      <c r="B82" s="8" t="s">
        <v>10</v>
      </c>
      <c r="C82" s="31">
        <f t="shared" ref="C82:H82" si="136">IF(C57=0,0,C57*LN(C57))</f>
        <v>-0.1957999282</v>
      </c>
      <c r="D82" s="31">
        <f t="shared" si="136"/>
        <v>-0.2813133425</v>
      </c>
      <c r="E82" s="31">
        <f t="shared" si="136"/>
        <v>-0.3197502735</v>
      </c>
      <c r="F82" s="31">
        <f t="shared" si="136"/>
        <v>-0.3301766243</v>
      </c>
      <c r="G82" s="31">
        <f t="shared" si="136"/>
        <v>-0.3084197944</v>
      </c>
      <c r="H82" s="31">
        <f t="shared" si="136"/>
        <v>-0.2631112304</v>
      </c>
      <c r="I82" s="9"/>
      <c r="K82" s="3"/>
      <c r="L82" s="8" t="s">
        <v>10</v>
      </c>
      <c r="M82" s="31">
        <f t="shared" ref="M82:R82" si="137">IF(M57=0,0,M57*LN(M57))</f>
        <v>-0.1956827406</v>
      </c>
      <c r="N82" s="31">
        <f t="shared" si="137"/>
        <v>-0.2982355397</v>
      </c>
      <c r="O82" s="31">
        <f t="shared" si="137"/>
        <v>-0.3096521531</v>
      </c>
      <c r="P82" s="31">
        <f t="shared" si="137"/>
        <v>-0.3235710127</v>
      </c>
      <c r="Q82" s="31">
        <f t="shared" si="137"/>
        <v>-0.3071806569</v>
      </c>
      <c r="R82" s="31">
        <f t="shared" si="137"/>
        <v>-0.2610813395</v>
      </c>
      <c r="S82" s="9"/>
      <c r="U82" s="3"/>
      <c r="V82" s="8" t="s">
        <v>10</v>
      </c>
      <c r="W82" s="31">
        <f t="shared" ref="W82:AB82" si="138">IF(W57=0,0,W57*LN(W57))</f>
        <v>-0.187396237</v>
      </c>
      <c r="X82" s="31">
        <f t="shared" si="138"/>
        <v>-0.202637727</v>
      </c>
      <c r="Y82" s="31">
        <f t="shared" si="138"/>
        <v>-0.2856532279</v>
      </c>
      <c r="Z82" s="31">
        <f t="shared" si="138"/>
        <v>-0.3029519319</v>
      </c>
      <c r="AA82" s="31">
        <f t="shared" si="138"/>
        <v>-0.2948252432</v>
      </c>
      <c r="AB82" s="31">
        <f t="shared" si="138"/>
        <v>-0.2575627877</v>
      </c>
      <c r="AC82" s="9"/>
      <c r="AE82" s="3"/>
      <c r="AF82" s="8" t="s">
        <v>10</v>
      </c>
      <c r="AG82" s="31">
        <f t="shared" ref="AG82:AL82" si="139">IF(AG57=0,0,AG57*LN(AG57))</f>
        <v>-0.187397179</v>
      </c>
      <c r="AH82" s="31">
        <f t="shared" si="139"/>
        <v>-0.1917625891</v>
      </c>
      <c r="AI82" s="31">
        <f t="shared" si="139"/>
        <v>-0.2901160529</v>
      </c>
      <c r="AJ82" s="31">
        <f t="shared" si="139"/>
        <v>-0.3030774711</v>
      </c>
      <c r="AK82" s="31">
        <f t="shared" si="139"/>
        <v>-0.2966040053</v>
      </c>
      <c r="AL82" s="31">
        <f t="shared" si="139"/>
        <v>-0.2571262991</v>
      </c>
      <c r="AM82" s="9"/>
      <c r="AO82" s="3"/>
      <c r="AP82" s="8" t="s">
        <v>10</v>
      </c>
      <c r="AQ82" s="31">
        <f t="shared" ref="AQ82:AV82" si="140">IF(AQ57=0,0,AQ57*LN(AQ57))</f>
        <v>-0.1943713288</v>
      </c>
      <c r="AR82" s="31">
        <f t="shared" si="140"/>
        <v>-0.2170747192</v>
      </c>
      <c r="AS82" s="31">
        <f t="shared" si="140"/>
        <v>-0.2952837996</v>
      </c>
      <c r="AT82" s="31">
        <f t="shared" si="140"/>
        <v>-0.3033506548</v>
      </c>
      <c r="AU82" s="31">
        <f t="shared" si="140"/>
        <v>-0.2949937752</v>
      </c>
      <c r="AV82" s="31">
        <f t="shared" si="140"/>
        <v>-0.2585808483</v>
      </c>
      <c r="AW82" s="9"/>
    </row>
    <row r="83" ht="14.25" customHeight="1">
      <c r="B83" s="8" t="s">
        <v>13</v>
      </c>
      <c r="C83" s="31">
        <f t="shared" ref="C83:H83" si="141">IF(C58=0,0,C58*LN(C58))</f>
        <v>-0.2784047792</v>
      </c>
      <c r="D83" s="31">
        <f t="shared" si="141"/>
        <v>-0.1839379288</v>
      </c>
      <c r="E83" s="31">
        <f t="shared" si="141"/>
        <v>-0.3225045356</v>
      </c>
      <c r="F83" s="31">
        <f t="shared" si="141"/>
        <v>-0.2001009232</v>
      </c>
      <c r="G83" s="31">
        <f t="shared" si="141"/>
        <v>-0.2908414928</v>
      </c>
      <c r="H83" s="31">
        <f t="shared" si="141"/>
        <v>-0.2651932814</v>
      </c>
      <c r="I83" s="9"/>
      <c r="K83" s="3"/>
      <c r="L83" s="8" t="s">
        <v>13</v>
      </c>
      <c r="M83" s="31">
        <f t="shared" ref="M83:R83" si="142">IF(M58=0,0,M58*LN(M58))</f>
        <v>-0.2819956707</v>
      </c>
      <c r="N83" s="31">
        <f t="shared" si="142"/>
        <v>-0.2381075394</v>
      </c>
      <c r="O83" s="31">
        <f t="shared" si="142"/>
        <v>-0.3242387359</v>
      </c>
      <c r="P83" s="31">
        <f t="shared" si="142"/>
        <v>-0.2027138915</v>
      </c>
      <c r="Q83" s="31">
        <f t="shared" si="142"/>
        <v>-0.2881361462</v>
      </c>
      <c r="R83" s="31">
        <f t="shared" si="142"/>
        <v>-0.2683455151</v>
      </c>
      <c r="S83" s="9"/>
      <c r="U83" s="3"/>
      <c r="V83" s="8" t="s">
        <v>13</v>
      </c>
      <c r="W83" s="31">
        <f t="shared" ref="W83:AB83" si="143">IF(W58=0,0,W58*LN(W58))</f>
        <v>-0.285943396</v>
      </c>
      <c r="X83" s="31">
        <f t="shared" si="143"/>
        <v>-0.2084066204</v>
      </c>
      <c r="Y83" s="31">
        <f t="shared" si="143"/>
        <v>-0.322155168</v>
      </c>
      <c r="Z83" s="31">
        <f t="shared" si="143"/>
        <v>-0.1990260282</v>
      </c>
      <c r="AA83" s="31">
        <f t="shared" si="143"/>
        <v>-0.2914225004</v>
      </c>
      <c r="AB83" s="31">
        <f t="shared" si="143"/>
        <v>-0.2673183052</v>
      </c>
      <c r="AC83" s="9"/>
      <c r="AE83" s="3"/>
      <c r="AF83" s="8" t="s">
        <v>13</v>
      </c>
      <c r="AG83" s="31">
        <f t="shared" ref="AG83:AL83" si="144">IF(AG58=0,0,AG58*LN(AG58))</f>
        <v>-0.2859304684</v>
      </c>
      <c r="AH83" s="31">
        <f t="shared" si="144"/>
        <v>-0.2691268692</v>
      </c>
      <c r="AI83" s="31">
        <f t="shared" si="144"/>
        <v>-0.3246130984</v>
      </c>
      <c r="AJ83" s="31">
        <f t="shared" si="144"/>
        <v>-0.1963395422</v>
      </c>
      <c r="AK83" s="31">
        <f t="shared" si="144"/>
        <v>-0.2895547228</v>
      </c>
      <c r="AL83" s="31">
        <f t="shared" si="144"/>
        <v>-0.2659691711</v>
      </c>
      <c r="AM83" s="9"/>
      <c r="AO83" s="3"/>
      <c r="AP83" s="8" t="s">
        <v>13</v>
      </c>
      <c r="AQ83" s="31">
        <f t="shared" ref="AQ83:AV83" si="145">IF(AQ58=0,0,AQ58*LN(AQ58))</f>
        <v>-0.2898810721</v>
      </c>
      <c r="AR83" s="31">
        <f t="shared" si="145"/>
        <v>-0.2275315884</v>
      </c>
      <c r="AS83" s="31">
        <f t="shared" si="145"/>
        <v>-0.3159608262</v>
      </c>
      <c r="AT83" s="31">
        <f t="shared" si="145"/>
        <v>-0.1915482355</v>
      </c>
      <c r="AU83" s="31">
        <f t="shared" si="145"/>
        <v>-0.2883201306</v>
      </c>
      <c r="AV83" s="31">
        <f t="shared" si="145"/>
        <v>-0.2648896753</v>
      </c>
      <c r="AW83" s="9"/>
    </row>
    <row r="84" ht="14.25" customHeight="1">
      <c r="B84" s="8" t="s">
        <v>14</v>
      </c>
      <c r="C84" s="31">
        <f t="shared" ref="C84:H84" si="146">IF(C59=0,0,C59*LN(C59))</f>
        <v>-0.2236836696</v>
      </c>
      <c r="D84" s="31">
        <f t="shared" si="146"/>
        <v>-0.3139015389</v>
      </c>
      <c r="E84" s="31">
        <f t="shared" si="146"/>
        <v>0</v>
      </c>
      <c r="F84" s="31">
        <f t="shared" si="146"/>
        <v>0</v>
      </c>
      <c r="G84" s="31">
        <f t="shared" si="146"/>
        <v>0</v>
      </c>
      <c r="H84" s="31">
        <f t="shared" si="146"/>
        <v>0</v>
      </c>
      <c r="I84" s="9"/>
      <c r="K84" s="3"/>
      <c r="L84" s="8" t="s">
        <v>14</v>
      </c>
      <c r="M84" s="31">
        <f t="shared" ref="M84:R84" si="147">IF(M59=0,0,M59*LN(M59))</f>
        <v>-0.2278769022</v>
      </c>
      <c r="N84" s="31">
        <f t="shared" si="147"/>
        <v>-0.1999911059</v>
      </c>
      <c r="O84" s="31">
        <f t="shared" si="147"/>
        <v>0</v>
      </c>
      <c r="P84" s="31">
        <f t="shared" si="147"/>
        <v>0</v>
      </c>
      <c r="Q84" s="31">
        <f t="shared" si="147"/>
        <v>0</v>
      </c>
      <c r="R84" s="31">
        <f t="shared" si="147"/>
        <v>0</v>
      </c>
      <c r="S84" s="9"/>
      <c r="U84" s="3"/>
      <c r="V84" s="8" t="s">
        <v>14</v>
      </c>
      <c r="W84" s="31">
        <f t="shared" ref="W84:AB84" si="148">IF(W59=0,0,W59*LN(W59))</f>
        <v>-0.2303698049</v>
      </c>
      <c r="X84" s="31">
        <f t="shared" si="148"/>
        <v>-0.3026011673</v>
      </c>
      <c r="Y84" s="31">
        <f t="shared" si="148"/>
        <v>0</v>
      </c>
      <c r="Z84" s="31">
        <f t="shared" si="148"/>
        <v>0</v>
      </c>
      <c r="AA84" s="31">
        <f t="shared" si="148"/>
        <v>0</v>
      </c>
      <c r="AB84" s="31">
        <f t="shared" si="148"/>
        <v>0</v>
      </c>
      <c r="AC84" s="9"/>
      <c r="AE84" s="3"/>
      <c r="AF84" s="8" t="s">
        <v>14</v>
      </c>
      <c r="AG84" s="31">
        <f t="shared" ref="AG84:AL84" si="149">IF(AG59=0,0,AG59*LN(AG59))</f>
        <v>-0.2218679334</v>
      </c>
      <c r="AH84" s="31">
        <f t="shared" si="149"/>
        <v>-0.33374246</v>
      </c>
      <c r="AI84" s="31">
        <f t="shared" si="149"/>
        <v>0</v>
      </c>
      <c r="AJ84" s="31">
        <f t="shared" si="149"/>
        <v>0</v>
      </c>
      <c r="AK84" s="31">
        <f t="shared" si="149"/>
        <v>0</v>
      </c>
      <c r="AL84" s="31">
        <f t="shared" si="149"/>
        <v>0</v>
      </c>
      <c r="AM84" s="9"/>
      <c r="AO84" s="3"/>
      <c r="AP84" s="8" t="s">
        <v>14</v>
      </c>
      <c r="AQ84" s="31">
        <f t="shared" ref="AQ84:AV84" si="150">IF(AQ59=0,0,AQ59*LN(AQ59))</f>
        <v>-0.212501006</v>
      </c>
      <c r="AR84" s="31">
        <f t="shared" si="150"/>
        <v>-0.3410874282</v>
      </c>
      <c r="AS84" s="31">
        <f t="shared" si="150"/>
        <v>0</v>
      </c>
      <c r="AT84" s="31">
        <f t="shared" si="150"/>
        <v>0</v>
      </c>
      <c r="AU84" s="31">
        <f t="shared" si="150"/>
        <v>0</v>
      </c>
      <c r="AV84" s="31">
        <f t="shared" si="150"/>
        <v>0</v>
      </c>
      <c r="AW84" s="9"/>
    </row>
    <row r="85" ht="14.25" customHeight="1">
      <c r="B85" s="8" t="s">
        <v>16</v>
      </c>
      <c r="C85" s="31">
        <f t="shared" ref="C85:H85" si="151">IF(C60=0,0,C60*LN(C60))</f>
        <v>-0.243068452</v>
      </c>
      <c r="D85" s="31">
        <f t="shared" si="151"/>
        <v>-0.1826758625</v>
      </c>
      <c r="E85" s="31">
        <f t="shared" si="151"/>
        <v>-0.3678564777</v>
      </c>
      <c r="F85" s="31">
        <f t="shared" si="151"/>
        <v>-0.3673088075</v>
      </c>
      <c r="G85" s="31">
        <f t="shared" si="151"/>
        <v>-0.2473457729</v>
      </c>
      <c r="H85" s="31">
        <f t="shared" si="151"/>
        <v>-0.2525507446</v>
      </c>
      <c r="I85" s="9"/>
      <c r="K85" s="3"/>
      <c r="L85" s="8" t="s">
        <v>16</v>
      </c>
      <c r="M85" s="31">
        <f t="shared" ref="M85:R85" si="152">IF(M60=0,0,M60*LN(M60))</f>
        <v>-0.244655331</v>
      </c>
      <c r="N85" s="31">
        <f t="shared" si="152"/>
        <v>-0.2260474175</v>
      </c>
      <c r="O85" s="31">
        <f t="shared" si="152"/>
        <v>-0.3677488266</v>
      </c>
      <c r="P85" s="31">
        <f t="shared" si="152"/>
        <v>-0.3664559591</v>
      </c>
      <c r="Q85" s="31">
        <f t="shared" si="152"/>
        <v>-0.254008783</v>
      </c>
      <c r="R85" s="31">
        <f t="shared" si="152"/>
        <v>-0.2540352932</v>
      </c>
      <c r="S85" s="9"/>
      <c r="U85" s="3"/>
      <c r="V85" s="8" t="s">
        <v>16</v>
      </c>
      <c r="W85" s="31">
        <f t="shared" ref="W85:AB85" si="153">IF(W60=0,0,W60*LN(W60))</f>
        <v>-0.2336309699</v>
      </c>
      <c r="X85" s="31">
        <f t="shared" si="153"/>
        <v>-0.220878393</v>
      </c>
      <c r="Y85" s="31">
        <f t="shared" si="153"/>
        <v>-0.367613657</v>
      </c>
      <c r="Z85" s="31">
        <f t="shared" si="153"/>
        <v>-0.3640638575</v>
      </c>
      <c r="AA85" s="31">
        <f t="shared" si="153"/>
        <v>-0.236775206</v>
      </c>
      <c r="AB85" s="31">
        <f t="shared" si="153"/>
        <v>-0.2534143394</v>
      </c>
      <c r="AC85" s="9"/>
      <c r="AE85" s="3"/>
      <c r="AF85" s="8" t="s">
        <v>16</v>
      </c>
      <c r="AG85" s="31">
        <f t="shared" ref="AG85:AL85" si="154">IF(AG60=0,0,AG60*LN(AG60))</f>
        <v>-0.2265955815</v>
      </c>
      <c r="AH85" s="31">
        <f t="shared" si="154"/>
        <v>-0.2568222394</v>
      </c>
      <c r="AI85" s="31">
        <f t="shared" si="154"/>
        <v>-0.3677209033</v>
      </c>
      <c r="AJ85" s="31">
        <f t="shared" si="154"/>
        <v>-0.3648943488</v>
      </c>
      <c r="AK85" s="31">
        <f t="shared" si="154"/>
        <v>-0.2407632341</v>
      </c>
      <c r="AL85" s="31">
        <f t="shared" si="154"/>
        <v>-0.2511257749</v>
      </c>
      <c r="AM85" s="9"/>
      <c r="AO85" s="3"/>
      <c r="AP85" s="8" t="s">
        <v>16</v>
      </c>
      <c r="AQ85" s="31">
        <f t="shared" ref="AQ85:AV85" si="155">IF(AQ60=0,0,AQ60*LN(AQ60))</f>
        <v>-0.2236794995</v>
      </c>
      <c r="AR85" s="31">
        <f t="shared" si="155"/>
        <v>-0.2359071513</v>
      </c>
      <c r="AS85" s="31">
        <f t="shared" si="155"/>
        <v>-0.3677976973</v>
      </c>
      <c r="AT85" s="31">
        <f t="shared" si="155"/>
        <v>-0.3664316411</v>
      </c>
      <c r="AU85" s="31">
        <f t="shared" si="155"/>
        <v>-0.2502412855</v>
      </c>
      <c r="AV85" s="31">
        <f t="shared" si="155"/>
        <v>-0.2513750466</v>
      </c>
      <c r="AW85" s="9"/>
    </row>
    <row r="86" ht="14.25" customHeight="1">
      <c r="B86" s="8" t="s">
        <v>17</v>
      </c>
      <c r="C86" s="31">
        <f t="shared" ref="C86:H86" si="156">IF(C61=0,0,C61*LN(C61))</f>
        <v>-0.2310393749</v>
      </c>
      <c r="D86" s="31">
        <f t="shared" si="156"/>
        <v>-0.260420845</v>
      </c>
      <c r="E86" s="31">
        <f t="shared" si="156"/>
        <v>-0.1718046962</v>
      </c>
      <c r="F86" s="31">
        <f t="shared" si="156"/>
        <v>-0.2293870702</v>
      </c>
      <c r="G86" s="31">
        <f t="shared" si="156"/>
        <v>-0.2872097125</v>
      </c>
      <c r="H86" s="31">
        <f t="shared" si="156"/>
        <v>-0.256364638</v>
      </c>
      <c r="I86" s="9"/>
      <c r="K86" s="3"/>
      <c r="L86" s="8" t="s">
        <v>17</v>
      </c>
      <c r="M86" s="31">
        <f t="shared" ref="M86:R86" si="157">IF(M61=0,0,M61*LN(M61))</f>
        <v>-0.2415169027</v>
      </c>
      <c r="N86" s="31">
        <f t="shared" si="157"/>
        <v>-0.2441828073</v>
      </c>
      <c r="O86" s="31">
        <f t="shared" si="157"/>
        <v>-0.1657620599</v>
      </c>
      <c r="P86" s="31">
        <f t="shared" si="157"/>
        <v>-0.2201587602</v>
      </c>
      <c r="Q86" s="31">
        <f t="shared" si="157"/>
        <v>-0.286130154</v>
      </c>
      <c r="R86" s="31">
        <f t="shared" si="157"/>
        <v>-0.2534328025</v>
      </c>
      <c r="S86" s="9"/>
      <c r="U86" s="3"/>
      <c r="V86" s="8" t="s">
        <v>17</v>
      </c>
      <c r="W86" s="31">
        <f t="shared" ref="W86:AB86" si="158">IF(W61=0,0,W61*LN(W61))</f>
        <v>-0.2395135435</v>
      </c>
      <c r="X86" s="31">
        <f t="shared" si="158"/>
        <v>-0.247572762</v>
      </c>
      <c r="Y86" s="31">
        <f t="shared" si="158"/>
        <v>-0.1623454962</v>
      </c>
      <c r="Z86" s="31">
        <f t="shared" si="158"/>
        <v>-0.2212195573</v>
      </c>
      <c r="AA86" s="31">
        <f t="shared" si="158"/>
        <v>-0.2926658021</v>
      </c>
      <c r="AB86" s="31">
        <f t="shared" si="158"/>
        <v>-0.2497246654</v>
      </c>
      <c r="AC86" s="9"/>
      <c r="AE86" s="3"/>
      <c r="AF86" s="8" t="s">
        <v>17</v>
      </c>
      <c r="AG86" s="31">
        <f t="shared" ref="AG86:AL86" si="159">IF(AG61=0,0,AG61*LN(AG61))</f>
        <v>-0.2326977004</v>
      </c>
      <c r="AH86" s="31">
        <f t="shared" si="159"/>
        <v>-0.09239388789</v>
      </c>
      <c r="AI86" s="31">
        <f t="shared" si="159"/>
        <v>-0.1546300847</v>
      </c>
      <c r="AJ86" s="31">
        <f t="shared" si="159"/>
        <v>-0.2138772581</v>
      </c>
      <c r="AK86" s="31">
        <f t="shared" si="159"/>
        <v>-0.2865003228</v>
      </c>
      <c r="AL86" s="31">
        <f t="shared" si="159"/>
        <v>-0.255053206</v>
      </c>
      <c r="AM86" s="9"/>
      <c r="AO86" s="3"/>
      <c r="AP86" s="8" t="s">
        <v>17</v>
      </c>
      <c r="AQ86" s="31">
        <f t="shared" ref="AQ86:AV86" si="160">IF(AQ61=0,0,AQ61*LN(AQ61))</f>
        <v>-0.2270894941</v>
      </c>
      <c r="AR86" s="31">
        <f t="shared" si="160"/>
        <v>-0.087760601</v>
      </c>
      <c r="AS86" s="31">
        <f t="shared" si="160"/>
        <v>-0.1689783368</v>
      </c>
      <c r="AT86" s="31">
        <f t="shared" si="160"/>
        <v>-0.23518368</v>
      </c>
      <c r="AU86" s="31">
        <f t="shared" si="160"/>
        <v>-0.2856929413</v>
      </c>
      <c r="AV86" s="31">
        <f t="shared" si="160"/>
        <v>-0.2562172385</v>
      </c>
      <c r="AW86" s="9"/>
    </row>
    <row r="87" ht="14.25" customHeight="1">
      <c r="B87" s="8" t="s">
        <v>18</v>
      </c>
      <c r="C87" s="31">
        <f t="shared" ref="C87:H87" si="161">IF(C62=0,0,C62*LN(C62))</f>
        <v>-0.2653060929</v>
      </c>
      <c r="D87" s="31">
        <f t="shared" si="161"/>
        <v>-0.2205485597</v>
      </c>
      <c r="E87" s="31">
        <f t="shared" si="161"/>
        <v>-0.1061673014</v>
      </c>
      <c r="F87" s="31">
        <f t="shared" si="161"/>
        <v>-0.235671725</v>
      </c>
      <c r="G87" s="31">
        <f t="shared" si="161"/>
        <v>-0.2943362169</v>
      </c>
      <c r="H87" s="31">
        <f t="shared" si="161"/>
        <v>-0.2512578078</v>
      </c>
      <c r="I87" s="9"/>
      <c r="K87" s="3"/>
      <c r="L87" s="8" t="s">
        <v>18</v>
      </c>
      <c r="M87" s="31">
        <f t="shared" ref="M87:R87" si="162">IF(M62=0,0,M62*LN(M62))</f>
        <v>-0.2499074263</v>
      </c>
      <c r="N87" s="31">
        <f t="shared" si="162"/>
        <v>-0.2529566077</v>
      </c>
      <c r="O87" s="31">
        <f t="shared" si="162"/>
        <v>-0.1049803412</v>
      </c>
      <c r="P87" s="31">
        <f t="shared" si="162"/>
        <v>-0.2329986887</v>
      </c>
      <c r="Q87" s="31">
        <f t="shared" si="162"/>
        <v>-0.2932292289</v>
      </c>
      <c r="R87" s="31">
        <f t="shared" si="162"/>
        <v>-0.2540352932</v>
      </c>
      <c r="S87" s="9"/>
      <c r="U87" s="3"/>
      <c r="V87" s="8" t="s">
        <v>18</v>
      </c>
      <c r="W87" s="31">
        <f t="shared" ref="W87:AB87" si="163">IF(W62=0,0,W62*LN(W62))</f>
        <v>-0.2482774613</v>
      </c>
      <c r="X87" s="31">
        <f t="shared" si="163"/>
        <v>-0.2359623715</v>
      </c>
      <c r="Y87" s="31">
        <f t="shared" si="163"/>
        <v>-0.1009855045</v>
      </c>
      <c r="Z87" s="31">
        <f t="shared" si="163"/>
        <v>-0.2260657929</v>
      </c>
      <c r="AA87" s="31">
        <f t="shared" si="163"/>
        <v>-0.2887250421</v>
      </c>
      <c r="AB87" s="31">
        <f t="shared" si="163"/>
        <v>-0.2528524674</v>
      </c>
      <c r="AC87" s="9"/>
      <c r="AE87" s="3"/>
      <c r="AF87" s="8" t="s">
        <v>18</v>
      </c>
      <c r="AG87" s="31">
        <f t="shared" ref="AG87:AL87" si="164">IF(AG62=0,0,AG62*LN(AG62))</f>
        <v>-0.2533896718</v>
      </c>
      <c r="AH87" s="31">
        <f t="shared" si="164"/>
        <v>-0.312641491</v>
      </c>
      <c r="AI87" s="31">
        <f t="shared" si="164"/>
        <v>-0.0977905178</v>
      </c>
      <c r="AJ87" s="31">
        <f t="shared" si="164"/>
        <v>-0.2192476411</v>
      </c>
      <c r="AK87" s="31">
        <f t="shared" si="164"/>
        <v>-0.2925479118</v>
      </c>
      <c r="AL87" s="31">
        <f t="shared" si="164"/>
        <v>-0.2514315083</v>
      </c>
      <c r="AM87" s="9"/>
      <c r="AO87" s="3"/>
      <c r="AP87" s="8" t="s">
        <v>18</v>
      </c>
      <c r="AQ87" s="31">
        <f t="shared" ref="AQ87:AV87" si="165">IF(AQ62=0,0,AQ62*LN(AQ62))</f>
        <v>-0.2593121878</v>
      </c>
      <c r="AR87" s="31">
        <f t="shared" si="165"/>
        <v>-0.3063347628</v>
      </c>
      <c r="AS87" s="31">
        <f t="shared" si="165"/>
        <v>-0.08730984837</v>
      </c>
      <c r="AT87" s="31">
        <f t="shared" si="165"/>
        <v>-0.2068588918</v>
      </c>
      <c r="AU87" s="31">
        <f t="shared" si="165"/>
        <v>-0.2780826993</v>
      </c>
      <c r="AV87" s="31">
        <f t="shared" si="165"/>
        <v>-0.2501400386</v>
      </c>
      <c r="AW87" s="9"/>
    </row>
    <row r="88" ht="14.25" customHeight="1">
      <c r="B88" s="8" t="s">
        <v>19</v>
      </c>
      <c r="C88" s="31">
        <f t="shared" ref="C88:H88" si="166">IF(C63=0,0,C63*LN(C63))</f>
        <v>-0.3163649333</v>
      </c>
      <c r="D88" s="31">
        <f t="shared" si="166"/>
        <v>-0.3578104213</v>
      </c>
      <c r="E88" s="31">
        <f t="shared" si="166"/>
        <v>-0.06503758987</v>
      </c>
      <c r="F88" s="31">
        <f t="shared" si="166"/>
        <v>-0.08000489632</v>
      </c>
      <c r="G88" s="31">
        <f t="shared" si="166"/>
        <v>-0.2029313104</v>
      </c>
      <c r="H88" s="31">
        <f t="shared" si="166"/>
        <v>-0.1075154505</v>
      </c>
      <c r="I88" s="9"/>
      <c r="K88" s="3"/>
      <c r="L88" s="8" t="s">
        <v>19</v>
      </c>
      <c r="M88" s="31">
        <f t="shared" ref="M88:R88" si="167">IF(M63=0,0,M63*LN(M63))</f>
        <v>-0.3065171976</v>
      </c>
      <c r="N88" s="31">
        <f t="shared" si="167"/>
        <v>-0.1910344199</v>
      </c>
      <c r="O88" s="31">
        <f t="shared" si="167"/>
        <v>-0.05453321189</v>
      </c>
      <c r="P88" s="31">
        <f t="shared" si="167"/>
        <v>-0.06956315202</v>
      </c>
      <c r="Q88" s="31">
        <f t="shared" si="167"/>
        <v>-0.1899488811</v>
      </c>
      <c r="R88" s="31">
        <f t="shared" si="167"/>
        <v>-0.1230669092</v>
      </c>
      <c r="S88" s="9"/>
      <c r="U88" s="3"/>
      <c r="V88" s="8" t="s">
        <v>19</v>
      </c>
      <c r="W88" s="31">
        <f t="shared" ref="W88:AB88" si="168">IF(W63=0,0,W63*LN(W63))</f>
        <v>-0.319071886</v>
      </c>
      <c r="X88" s="31">
        <f t="shared" si="168"/>
        <v>-0.2085701819</v>
      </c>
      <c r="Y88" s="31">
        <f t="shared" si="168"/>
        <v>-0.05831661762</v>
      </c>
      <c r="Z88" s="31">
        <f t="shared" si="168"/>
        <v>-0.07322151754</v>
      </c>
      <c r="AA88" s="31">
        <f t="shared" si="168"/>
        <v>-0.193869271</v>
      </c>
      <c r="AB88" s="31">
        <f t="shared" si="168"/>
        <v>-0.1390313251</v>
      </c>
      <c r="AC88" s="9"/>
      <c r="AE88" s="3"/>
      <c r="AF88" s="8" t="s">
        <v>19</v>
      </c>
      <c r="AG88" s="31">
        <f t="shared" ref="AG88:AL88" si="169">IF(AG63=0,0,AG63*LN(AG63))</f>
        <v>-0.3237588493</v>
      </c>
      <c r="AH88" s="31">
        <f t="shared" si="169"/>
        <v>-0.2801707234</v>
      </c>
      <c r="AI88" s="31">
        <f t="shared" si="169"/>
        <v>-0.05925554612</v>
      </c>
      <c r="AJ88" s="31">
        <f t="shared" si="169"/>
        <v>-0.07473735105</v>
      </c>
      <c r="AK88" s="31">
        <f t="shared" si="169"/>
        <v>-0.1949632684</v>
      </c>
      <c r="AL88" s="31">
        <f t="shared" si="169"/>
        <v>-0.1307379198</v>
      </c>
      <c r="AM88" s="9"/>
      <c r="AO88" s="3"/>
      <c r="AP88" s="8" t="s">
        <v>19</v>
      </c>
      <c r="AQ88" s="31">
        <f t="shared" ref="AQ88:AV88" si="170">IF(AQ63=0,0,AQ63*LN(AQ63))</f>
        <v>-0.3168437858</v>
      </c>
      <c r="AR88" s="31">
        <f t="shared" si="170"/>
        <v>-0.1852991761</v>
      </c>
      <c r="AS88" s="31">
        <f t="shared" si="170"/>
        <v>-0.05531796976</v>
      </c>
      <c r="AT88" s="31">
        <f t="shared" si="170"/>
        <v>-0.0791973487</v>
      </c>
      <c r="AU88" s="31">
        <f t="shared" si="170"/>
        <v>-0.1954199117</v>
      </c>
      <c r="AV88" s="31">
        <f t="shared" si="170"/>
        <v>-0.1336601935</v>
      </c>
      <c r="AW88" s="9"/>
    </row>
    <row r="89" ht="14.25" customHeight="1">
      <c r="B89" s="8" t="s">
        <v>20</v>
      </c>
      <c r="C89" s="31">
        <f t="shared" ref="C89:H89" si="171">IF(C64=0,0,C64*LN(C64))</f>
        <v>-0.1611750758</v>
      </c>
      <c r="D89" s="31">
        <f t="shared" si="171"/>
        <v>0</v>
      </c>
      <c r="E89" s="31">
        <f t="shared" si="171"/>
        <v>-0.1425140047</v>
      </c>
      <c r="F89" s="31">
        <f t="shared" si="171"/>
        <v>-0.1648547886</v>
      </c>
      <c r="G89" s="31">
        <f t="shared" si="171"/>
        <v>-0.2034215002</v>
      </c>
      <c r="H89" s="31">
        <f t="shared" si="171"/>
        <v>-0.2506072235</v>
      </c>
      <c r="I89" s="9"/>
      <c r="K89" s="3"/>
      <c r="L89" s="8" t="s">
        <v>20</v>
      </c>
      <c r="M89" s="31">
        <f t="shared" ref="M89:R89" si="172">IF(M64=0,0,M64*LN(M64))</f>
        <v>-0.1625135703</v>
      </c>
      <c r="N89" s="31">
        <f t="shared" si="172"/>
        <v>-0.2638166882</v>
      </c>
      <c r="O89" s="31">
        <f t="shared" si="172"/>
        <v>-0.1530032217</v>
      </c>
      <c r="P89" s="31">
        <f t="shared" si="172"/>
        <v>-0.1748295724</v>
      </c>
      <c r="Q89" s="31">
        <f t="shared" si="172"/>
        <v>-0.2146756652</v>
      </c>
      <c r="R89" s="31">
        <f t="shared" si="172"/>
        <v>-0.2503840402</v>
      </c>
      <c r="S89" s="9"/>
      <c r="U89" s="3"/>
      <c r="V89" s="8" t="s">
        <v>20</v>
      </c>
      <c r="W89" s="31">
        <f t="shared" ref="W89:AB89" si="173">IF(W64=0,0,W64*LN(W64))</f>
        <v>-0.1499852064</v>
      </c>
      <c r="X89" s="31">
        <f t="shared" si="173"/>
        <v>0</v>
      </c>
      <c r="Y89" s="31">
        <f t="shared" si="173"/>
        <v>-0.144831439</v>
      </c>
      <c r="Z89" s="31">
        <f t="shared" si="173"/>
        <v>-0.1748547916</v>
      </c>
      <c r="AA89" s="31">
        <f t="shared" si="173"/>
        <v>-0.2178345354</v>
      </c>
      <c r="AB89" s="31">
        <f t="shared" si="173"/>
        <v>-0.2594597621</v>
      </c>
      <c r="AC89" s="9"/>
      <c r="AE89" s="3"/>
      <c r="AF89" s="8" t="s">
        <v>20</v>
      </c>
      <c r="AG89" s="31">
        <f t="shared" ref="AG89:AL89" si="174">IF(AG64=0,0,AG64*LN(AG64))</f>
        <v>-0.1755873089</v>
      </c>
      <c r="AH89" s="31">
        <f t="shared" si="174"/>
        <v>-0.1870103003</v>
      </c>
      <c r="AI89" s="31">
        <f t="shared" si="174"/>
        <v>-0.1819270332</v>
      </c>
      <c r="AJ89" s="31">
        <f t="shared" si="174"/>
        <v>-0.2156559327</v>
      </c>
      <c r="AK89" s="31">
        <f t="shared" si="174"/>
        <v>-0.2378482215</v>
      </c>
      <c r="AL89" s="31">
        <f t="shared" si="174"/>
        <v>-0.2614728886</v>
      </c>
      <c r="AM89" s="9"/>
      <c r="AO89" s="3"/>
      <c r="AP89" s="8" t="s">
        <v>20</v>
      </c>
      <c r="AQ89" s="31">
        <f t="shared" ref="AQ89:AV89" si="175">IF(AQ64=0,0,AQ64*LN(AQ64))</f>
        <v>-0.1779110154</v>
      </c>
      <c r="AR89" s="31">
        <f t="shared" si="175"/>
        <v>0</v>
      </c>
      <c r="AS89" s="31">
        <f t="shared" si="175"/>
        <v>-0.1870583247</v>
      </c>
      <c r="AT89" s="31">
        <f t="shared" si="175"/>
        <v>-0.212628257</v>
      </c>
      <c r="AU89" s="31">
        <f t="shared" si="175"/>
        <v>-0.2298537802</v>
      </c>
      <c r="AV89" s="31">
        <f t="shared" si="175"/>
        <v>-0.2611951976</v>
      </c>
      <c r="AW89" s="9"/>
    </row>
    <row r="90" ht="14.25" customHeight="1">
      <c r="B90" s="8" t="s">
        <v>21</v>
      </c>
      <c r="C90" s="31">
        <f t="shared" ref="C90:H90" si="176">IF(C65=0,0,C65*LN(C65))</f>
        <v>0</v>
      </c>
      <c r="D90" s="31">
        <f t="shared" si="176"/>
        <v>-0.007498852773</v>
      </c>
      <c r="E90" s="31">
        <f t="shared" si="176"/>
        <v>-0.1923476318</v>
      </c>
      <c r="F90" s="31">
        <f t="shared" si="176"/>
        <v>-0.0782939394</v>
      </c>
      <c r="G90" s="31">
        <f t="shared" si="176"/>
        <v>-0.1125854234</v>
      </c>
      <c r="H90" s="31">
        <f t="shared" si="176"/>
        <v>-0.2932508294</v>
      </c>
      <c r="I90" s="9"/>
      <c r="K90" s="3"/>
      <c r="L90" s="8" t="s">
        <v>21</v>
      </c>
      <c r="M90" s="31">
        <f t="shared" ref="M90:R90" si="177">IF(M65=0,0,M65*LN(M65))</f>
        <v>0</v>
      </c>
      <c r="N90" s="31">
        <f t="shared" si="177"/>
        <v>0</v>
      </c>
      <c r="O90" s="31">
        <f t="shared" si="177"/>
        <v>-0.2049866973</v>
      </c>
      <c r="P90" s="31">
        <f t="shared" si="177"/>
        <v>-0.08726322274</v>
      </c>
      <c r="Q90" s="31">
        <f t="shared" si="177"/>
        <v>-0.1130328322</v>
      </c>
      <c r="R90" s="31">
        <f t="shared" si="177"/>
        <v>-0.2873215723</v>
      </c>
      <c r="S90" s="9"/>
      <c r="U90" s="3"/>
      <c r="V90" s="8" t="s">
        <v>21</v>
      </c>
      <c r="W90" s="31">
        <f t="shared" ref="W90:AB90" si="178">IF(W65=0,0,W65*LN(W65))</f>
        <v>0</v>
      </c>
      <c r="X90" s="31">
        <f t="shared" si="178"/>
        <v>-0.289843487</v>
      </c>
      <c r="Y90" s="31">
        <f t="shared" si="178"/>
        <v>-0.252048437</v>
      </c>
      <c r="Z90" s="31">
        <f t="shared" si="178"/>
        <v>-0.1290151881</v>
      </c>
      <c r="AA90" s="31">
        <f t="shared" si="178"/>
        <v>-0.1502270937</v>
      </c>
      <c r="AB90" s="31">
        <f t="shared" si="178"/>
        <v>-0.2820210188</v>
      </c>
      <c r="AC90" s="9"/>
      <c r="AE90" s="3"/>
      <c r="AF90" s="8" t="s">
        <v>21</v>
      </c>
      <c r="AG90" s="31">
        <f t="shared" ref="AG90:AL90" si="179">IF(AG65=0,0,AG65*LN(AG65))</f>
        <v>0</v>
      </c>
      <c r="AH90" s="31">
        <f t="shared" si="179"/>
        <v>0</v>
      </c>
      <c r="AI90" s="31">
        <f t="shared" si="179"/>
        <v>-0.2264232814</v>
      </c>
      <c r="AJ90" s="31">
        <f t="shared" si="179"/>
        <v>-0.1109629581</v>
      </c>
      <c r="AK90" s="31">
        <f t="shared" si="179"/>
        <v>-0.1318937396</v>
      </c>
      <c r="AL90" s="31">
        <f t="shared" si="179"/>
        <v>-0.2850108274</v>
      </c>
      <c r="AM90" s="9"/>
      <c r="AO90" s="3"/>
      <c r="AP90" s="8" t="s">
        <v>21</v>
      </c>
      <c r="AQ90" s="31">
        <f t="shared" ref="AQ90:AV90" si="180">IF(AQ65=0,0,AQ65*LN(AQ65))</f>
        <v>0</v>
      </c>
      <c r="AR90" s="31">
        <f t="shared" si="180"/>
        <v>-0.1331477939</v>
      </c>
      <c r="AS90" s="31">
        <f t="shared" si="180"/>
        <v>-0.2515066497</v>
      </c>
      <c r="AT90" s="31">
        <f t="shared" si="180"/>
        <v>-0.1269681365</v>
      </c>
      <c r="AU90" s="31">
        <f t="shared" si="180"/>
        <v>-0.1483317848</v>
      </c>
      <c r="AV90" s="31">
        <f t="shared" si="180"/>
        <v>-0.2834648198</v>
      </c>
      <c r="AW90" s="9"/>
    </row>
    <row r="91" ht="14.25" customHeight="1">
      <c r="C91" s="31"/>
      <c r="D91" s="31"/>
      <c r="E91" s="31"/>
      <c r="F91" s="31"/>
      <c r="G91" s="31"/>
      <c r="H91" s="31"/>
      <c r="I91" s="9"/>
      <c r="K91" s="3"/>
      <c r="M91" s="31"/>
      <c r="N91" s="31"/>
      <c r="O91" s="31"/>
      <c r="P91" s="31"/>
      <c r="Q91" s="31"/>
      <c r="R91" s="34"/>
      <c r="S91" s="9"/>
      <c r="U91" s="3"/>
      <c r="W91" s="31"/>
      <c r="X91" s="31"/>
      <c r="Y91" s="31"/>
      <c r="Z91" s="31"/>
      <c r="AA91" s="31"/>
      <c r="AB91" s="34"/>
      <c r="AC91" s="9"/>
      <c r="AE91" s="3"/>
      <c r="AG91" s="31"/>
      <c r="AH91" s="31"/>
      <c r="AI91" s="31"/>
      <c r="AJ91" s="31"/>
      <c r="AK91" s="31"/>
      <c r="AL91" s="34"/>
      <c r="AM91" s="9"/>
      <c r="AO91" s="3"/>
      <c r="AQ91" s="31"/>
      <c r="AR91" s="31"/>
      <c r="AS91" s="31"/>
      <c r="AT91" s="31"/>
      <c r="AU91" s="31"/>
      <c r="AV91" s="34"/>
      <c r="AW91" s="9"/>
    </row>
    <row r="92" ht="14.25" customHeight="1">
      <c r="C92" s="31"/>
      <c r="D92" s="31"/>
      <c r="E92" s="31"/>
      <c r="F92" s="31"/>
      <c r="G92" s="31"/>
      <c r="H92" s="31"/>
      <c r="I92" s="9"/>
      <c r="K92" s="3"/>
      <c r="M92" s="31"/>
      <c r="N92" s="31"/>
      <c r="O92" s="31"/>
      <c r="P92" s="31"/>
      <c r="Q92" s="31"/>
      <c r="R92" s="34"/>
      <c r="S92" s="9"/>
      <c r="U92" s="3"/>
      <c r="W92" s="31"/>
      <c r="X92" s="31"/>
      <c r="Y92" s="31"/>
      <c r="Z92" s="31"/>
      <c r="AA92" s="31"/>
      <c r="AB92" s="34"/>
      <c r="AC92" s="9"/>
      <c r="AE92" s="3"/>
      <c r="AG92" s="31"/>
      <c r="AH92" s="31"/>
      <c r="AI92" s="31"/>
      <c r="AJ92" s="31"/>
      <c r="AK92" s="31"/>
      <c r="AL92" s="34"/>
      <c r="AM92" s="9"/>
      <c r="AO92" s="3"/>
      <c r="AQ92" s="31"/>
      <c r="AR92" s="31"/>
      <c r="AS92" s="31"/>
      <c r="AT92" s="31"/>
      <c r="AU92" s="31"/>
      <c r="AV92" s="34"/>
      <c r="AW92" s="9"/>
    </row>
    <row r="93" ht="14.25" customHeight="1">
      <c r="C93" s="31"/>
      <c r="D93" s="31"/>
      <c r="E93" s="31"/>
      <c r="F93" s="31"/>
      <c r="G93" s="31"/>
      <c r="H93" s="31"/>
      <c r="I93" s="9"/>
      <c r="K93" s="3"/>
      <c r="M93" s="31"/>
      <c r="N93" s="31"/>
      <c r="O93" s="31"/>
      <c r="P93" s="31"/>
      <c r="Q93" s="31"/>
      <c r="R93" s="34"/>
      <c r="S93" s="9"/>
      <c r="U93" s="3"/>
      <c r="W93" s="31"/>
      <c r="X93" s="31"/>
      <c r="Y93" s="31"/>
      <c r="Z93" s="31"/>
      <c r="AA93" s="31"/>
      <c r="AB93" s="34"/>
      <c r="AC93" s="9"/>
      <c r="AE93" s="3"/>
      <c r="AG93" s="31"/>
      <c r="AH93" s="31"/>
      <c r="AI93" s="31"/>
      <c r="AJ93" s="31"/>
      <c r="AK93" s="31"/>
      <c r="AL93" s="34"/>
      <c r="AM93" s="9"/>
      <c r="AO93" s="3"/>
      <c r="AQ93" s="31"/>
      <c r="AR93" s="31"/>
      <c r="AS93" s="31"/>
      <c r="AT93" s="31"/>
      <c r="AU93" s="31"/>
      <c r="AV93" s="34"/>
      <c r="AW93" s="9"/>
    </row>
    <row r="94" ht="14.25" customHeight="1">
      <c r="C94" s="31"/>
      <c r="D94" s="31"/>
      <c r="E94" s="31"/>
      <c r="F94" s="31"/>
      <c r="G94" s="31"/>
      <c r="H94" s="31"/>
      <c r="I94" s="9"/>
      <c r="K94" s="3"/>
      <c r="M94" s="31"/>
      <c r="N94" s="31"/>
      <c r="O94" s="31"/>
      <c r="P94" s="31"/>
      <c r="Q94" s="31"/>
      <c r="R94" s="34"/>
      <c r="S94" s="9"/>
      <c r="U94" s="3"/>
      <c r="W94" s="31"/>
      <c r="X94" s="31"/>
      <c r="Y94" s="31"/>
      <c r="Z94" s="31"/>
      <c r="AA94" s="31"/>
      <c r="AB94" s="34"/>
      <c r="AC94" s="9"/>
      <c r="AE94" s="3"/>
      <c r="AG94" s="31"/>
      <c r="AH94" s="31"/>
      <c r="AI94" s="31"/>
      <c r="AJ94" s="31"/>
      <c r="AK94" s="31"/>
      <c r="AL94" s="34"/>
      <c r="AM94" s="9"/>
      <c r="AO94" s="3"/>
      <c r="AQ94" s="31"/>
      <c r="AR94" s="31"/>
      <c r="AS94" s="31"/>
      <c r="AT94" s="31"/>
      <c r="AU94" s="31"/>
      <c r="AV94" s="34"/>
      <c r="AW94" s="9"/>
    </row>
    <row r="95" ht="14.25" customHeight="1">
      <c r="C95" s="31"/>
      <c r="D95" s="31"/>
      <c r="E95" s="31"/>
      <c r="F95" s="31"/>
      <c r="G95" s="31"/>
      <c r="H95" s="31"/>
      <c r="I95" s="9"/>
      <c r="K95" s="3"/>
      <c r="M95" s="31"/>
      <c r="N95" s="31"/>
      <c r="O95" s="31"/>
      <c r="P95" s="31"/>
      <c r="Q95" s="31"/>
      <c r="R95" s="34"/>
      <c r="S95" s="9"/>
      <c r="U95" s="3"/>
      <c r="W95" s="31"/>
      <c r="X95" s="31"/>
      <c r="Y95" s="31"/>
      <c r="Z95" s="31"/>
      <c r="AA95" s="31"/>
      <c r="AB95" s="34"/>
      <c r="AC95" s="9"/>
      <c r="AE95" s="3"/>
      <c r="AG95" s="31"/>
      <c r="AH95" s="31"/>
      <c r="AI95" s="31"/>
      <c r="AJ95" s="31"/>
      <c r="AK95" s="31"/>
      <c r="AL95" s="34"/>
      <c r="AM95" s="9"/>
      <c r="AO95" s="3"/>
      <c r="AQ95" s="31"/>
      <c r="AR95" s="31"/>
      <c r="AS95" s="31"/>
      <c r="AT95" s="31"/>
      <c r="AU95" s="31"/>
      <c r="AV95" s="34"/>
      <c r="AW95" s="9"/>
    </row>
    <row r="96" ht="14.25" customHeight="1">
      <c r="C96" s="31"/>
      <c r="D96" s="31"/>
      <c r="E96" s="31"/>
      <c r="F96" s="31"/>
      <c r="G96" s="31"/>
      <c r="H96" s="31"/>
      <c r="I96" s="9"/>
      <c r="K96" s="3"/>
      <c r="M96" s="31"/>
      <c r="N96" s="31"/>
      <c r="O96" s="31"/>
      <c r="P96" s="31"/>
      <c r="Q96" s="31"/>
      <c r="R96" s="34"/>
      <c r="S96" s="9"/>
      <c r="U96" s="3"/>
      <c r="W96" s="31"/>
      <c r="X96" s="31"/>
      <c r="Y96" s="31"/>
      <c r="Z96" s="31"/>
      <c r="AA96" s="31"/>
      <c r="AB96" s="34"/>
      <c r="AC96" s="9"/>
      <c r="AE96" s="3"/>
      <c r="AG96" s="31"/>
      <c r="AH96" s="31"/>
      <c r="AI96" s="31"/>
      <c r="AJ96" s="31"/>
      <c r="AK96" s="31"/>
      <c r="AL96" s="34"/>
      <c r="AM96" s="9"/>
      <c r="AO96" s="3"/>
      <c r="AQ96" s="31"/>
      <c r="AR96" s="31"/>
      <c r="AS96" s="31"/>
      <c r="AT96" s="31"/>
      <c r="AU96" s="31"/>
      <c r="AV96" s="34"/>
      <c r="AW96" s="9"/>
    </row>
    <row r="97" ht="14.25" customHeight="1">
      <c r="C97" s="31"/>
      <c r="D97" s="31"/>
      <c r="E97" s="31"/>
      <c r="F97" s="31"/>
      <c r="G97" s="31"/>
      <c r="H97" s="31"/>
      <c r="I97" s="9"/>
      <c r="K97" s="3"/>
      <c r="M97" s="31"/>
      <c r="N97" s="31"/>
      <c r="O97" s="31"/>
      <c r="P97" s="31"/>
      <c r="Q97" s="31"/>
      <c r="R97" s="34"/>
      <c r="S97" s="9"/>
      <c r="U97" s="3"/>
      <c r="W97" s="31"/>
      <c r="X97" s="31"/>
      <c r="Y97" s="31"/>
      <c r="Z97" s="31"/>
      <c r="AA97" s="31"/>
      <c r="AB97" s="34"/>
      <c r="AC97" s="9"/>
      <c r="AE97" s="3"/>
      <c r="AG97" s="31"/>
      <c r="AH97" s="31"/>
      <c r="AI97" s="31"/>
      <c r="AJ97" s="31"/>
      <c r="AK97" s="31"/>
      <c r="AL97" s="34"/>
      <c r="AM97" s="9"/>
      <c r="AO97" s="3"/>
      <c r="AQ97" s="31"/>
      <c r="AR97" s="31"/>
      <c r="AS97" s="31"/>
      <c r="AT97" s="31"/>
      <c r="AU97" s="31"/>
      <c r="AV97" s="34"/>
      <c r="AW97" s="9"/>
    </row>
    <row r="98" ht="14.25" customHeight="1">
      <c r="C98" s="31"/>
      <c r="D98" s="31"/>
      <c r="E98" s="31"/>
      <c r="F98" s="31"/>
      <c r="G98" s="31"/>
      <c r="H98" s="31"/>
      <c r="I98" s="9"/>
      <c r="K98" s="3"/>
      <c r="M98" s="31"/>
      <c r="N98" s="31"/>
      <c r="O98" s="31"/>
      <c r="P98" s="31"/>
      <c r="Q98" s="31"/>
      <c r="R98" s="34"/>
      <c r="S98" s="9"/>
      <c r="U98" s="3"/>
      <c r="W98" s="31"/>
      <c r="X98" s="31"/>
      <c r="Y98" s="31"/>
      <c r="Z98" s="31"/>
      <c r="AA98" s="31"/>
      <c r="AB98" s="34"/>
      <c r="AC98" s="9"/>
      <c r="AE98" s="3"/>
      <c r="AG98" s="31"/>
      <c r="AH98" s="31"/>
      <c r="AI98" s="31"/>
      <c r="AJ98" s="31"/>
      <c r="AK98" s="31"/>
      <c r="AL98" s="34"/>
      <c r="AM98" s="9"/>
      <c r="AO98" s="3"/>
      <c r="AQ98" s="31"/>
      <c r="AR98" s="31"/>
      <c r="AS98" s="31"/>
      <c r="AT98" s="31"/>
      <c r="AU98" s="31"/>
      <c r="AV98" s="34"/>
      <c r="AW98" s="9"/>
    </row>
    <row r="99" ht="14.25" customHeight="1">
      <c r="C99" s="31"/>
      <c r="D99" s="31"/>
      <c r="E99" s="31"/>
      <c r="F99" s="31"/>
      <c r="G99" s="31"/>
      <c r="H99" s="31"/>
      <c r="I99" s="9"/>
      <c r="K99" s="3"/>
      <c r="M99" s="31"/>
      <c r="N99" s="31"/>
      <c r="O99" s="31"/>
      <c r="P99" s="31"/>
      <c r="Q99" s="31"/>
      <c r="R99" s="34"/>
      <c r="S99" s="9"/>
      <c r="U99" s="3"/>
      <c r="W99" s="31"/>
      <c r="X99" s="31"/>
      <c r="Y99" s="31"/>
      <c r="Z99" s="31"/>
      <c r="AA99" s="31"/>
      <c r="AB99" s="34"/>
      <c r="AC99" s="9"/>
      <c r="AE99" s="3"/>
      <c r="AG99" s="31"/>
      <c r="AH99" s="31"/>
      <c r="AI99" s="31"/>
      <c r="AJ99" s="31"/>
      <c r="AK99" s="31"/>
      <c r="AL99" s="34"/>
      <c r="AM99" s="9"/>
      <c r="AO99" s="3"/>
      <c r="AQ99" s="31"/>
      <c r="AR99" s="31"/>
      <c r="AS99" s="31"/>
      <c r="AT99" s="31"/>
      <c r="AU99" s="31"/>
      <c r="AV99" s="34"/>
      <c r="AW99" s="9"/>
    </row>
    <row r="100" ht="14.25" customHeight="1">
      <c r="C100" s="31"/>
      <c r="D100" s="31"/>
      <c r="E100" s="31"/>
      <c r="F100" s="31"/>
      <c r="G100" s="31"/>
      <c r="H100" s="31"/>
      <c r="I100" s="9"/>
      <c r="K100" s="3"/>
      <c r="M100" s="31"/>
      <c r="N100" s="31"/>
      <c r="O100" s="31"/>
      <c r="P100" s="31"/>
      <c r="Q100" s="31"/>
      <c r="R100" s="34"/>
      <c r="S100" s="9"/>
      <c r="U100" s="3"/>
      <c r="W100" s="31"/>
      <c r="X100" s="31"/>
      <c r="Y100" s="31"/>
      <c r="Z100" s="31"/>
      <c r="AA100" s="31"/>
      <c r="AB100" s="34"/>
      <c r="AC100" s="9"/>
      <c r="AE100" s="3"/>
      <c r="AG100" s="31"/>
      <c r="AH100" s="31"/>
      <c r="AI100" s="31"/>
      <c r="AJ100" s="31"/>
      <c r="AK100" s="31"/>
      <c r="AL100" s="34"/>
      <c r="AM100" s="9"/>
      <c r="AO100" s="3"/>
      <c r="AQ100" s="31"/>
      <c r="AR100" s="31"/>
      <c r="AS100" s="31"/>
      <c r="AT100" s="31"/>
      <c r="AU100" s="31"/>
      <c r="AV100" s="34"/>
      <c r="AW100" s="9"/>
    </row>
    <row r="101" ht="14.25" customHeight="1">
      <c r="C101" s="31"/>
      <c r="D101" s="31"/>
      <c r="E101" s="31"/>
      <c r="F101" s="31"/>
      <c r="G101" s="31"/>
      <c r="H101" s="31"/>
      <c r="I101" s="9"/>
      <c r="K101" s="3"/>
      <c r="M101" s="31"/>
      <c r="N101" s="31"/>
      <c r="O101" s="31"/>
      <c r="P101" s="31"/>
      <c r="Q101" s="31"/>
      <c r="R101" s="34"/>
      <c r="S101" s="9"/>
      <c r="U101" s="3"/>
      <c r="W101" s="31"/>
      <c r="X101" s="31"/>
      <c r="Y101" s="31"/>
      <c r="Z101" s="31"/>
      <c r="AA101" s="31"/>
      <c r="AB101" s="34"/>
      <c r="AC101" s="9"/>
      <c r="AE101" s="3"/>
      <c r="AG101" s="31"/>
      <c r="AH101" s="31"/>
      <c r="AI101" s="31"/>
      <c r="AJ101" s="31"/>
      <c r="AK101" s="31"/>
      <c r="AL101" s="34"/>
      <c r="AM101" s="9"/>
      <c r="AO101" s="3"/>
      <c r="AQ101" s="31"/>
      <c r="AR101" s="31"/>
      <c r="AS101" s="31"/>
      <c r="AT101" s="31"/>
      <c r="AU101" s="31"/>
      <c r="AV101" s="34"/>
      <c r="AW101" s="9"/>
    </row>
    <row r="102" ht="14.25" customHeight="1">
      <c r="B102" s="3" t="s">
        <v>47</v>
      </c>
      <c r="C102" s="44">
        <f t="shared" ref="C102:H102" si="181">SUM(C81:C101)</f>
        <v>-2.142024728</v>
      </c>
      <c r="D102" s="44">
        <f t="shared" si="181"/>
        <v>-1.900033658</v>
      </c>
      <c r="E102" s="44">
        <f t="shared" si="181"/>
        <v>-1.703096038</v>
      </c>
      <c r="F102" s="44">
        <f t="shared" si="181"/>
        <v>-1.752756183</v>
      </c>
      <c r="G102" s="44">
        <f t="shared" si="181"/>
        <v>-2.077019404</v>
      </c>
      <c r="H102" s="44">
        <f t="shared" si="181"/>
        <v>-2.13756448</v>
      </c>
      <c r="I102" s="9"/>
      <c r="K102" s="3"/>
      <c r="L102" s="1" t="s">
        <v>47</v>
      </c>
      <c r="M102" s="44">
        <f t="shared" ref="M102:R102" si="182">SUM(M81:M101)</f>
        <v>-2.15181136</v>
      </c>
      <c r="N102" s="44">
        <f t="shared" si="182"/>
        <v>-2.169615193</v>
      </c>
      <c r="O102" s="44">
        <f t="shared" si="182"/>
        <v>-1.701004711</v>
      </c>
      <c r="P102" s="44">
        <f t="shared" si="182"/>
        <v>-1.749324778</v>
      </c>
      <c r="Q102" s="44">
        <f t="shared" si="182"/>
        <v>-2.080699471</v>
      </c>
      <c r="R102" s="44">
        <f t="shared" si="182"/>
        <v>-2.146737447</v>
      </c>
      <c r="S102" s="9"/>
      <c r="U102" s="3"/>
      <c r="V102" s="1" t="s">
        <v>47</v>
      </c>
      <c r="W102" s="44">
        <f t="shared" ref="W102:AB102" si="183">SUM(W81:W101)</f>
        <v>-2.133963297</v>
      </c>
      <c r="X102" s="44">
        <f t="shared" si="183"/>
        <v>-2.16141452</v>
      </c>
      <c r="Y102" s="44">
        <f t="shared" si="183"/>
        <v>-1.709235924</v>
      </c>
      <c r="Z102" s="44">
        <f t="shared" si="183"/>
        <v>-1.755751246</v>
      </c>
      <c r="AA102" s="44">
        <f t="shared" si="183"/>
        <v>-2.106428937</v>
      </c>
      <c r="AB102" s="44">
        <f t="shared" si="183"/>
        <v>-2.155793045</v>
      </c>
      <c r="AC102" s="9"/>
      <c r="AE102" s="3"/>
      <c r="AF102" s="1" t="s">
        <v>47</v>
      </c>
      <c r="AG102" s="44">
        <f t="shared" ref="AG102:AL102" si="184">SUM(AG81:AG101)</f>
        <v>-2.136059196</v>
      </c>
      <c r="AH102" s="44">
        <f t="shared" si="184"/>
        <v>-2.010196079</v>
      </c>
      <c r="AI102" s="44">
        <f t="shared" si="184"/>
        <v>-1.716966793</v>
      </c>
      <c r="AJ102" s="44">
        <f t="shared" si="184"/>
        <v>-1.762883303</v>
      </c>
      <c r="AK102" s="44">
        <f t="shared" si="184"/>
        <v>-2.094180822</v>
      </c>
      <c r="AL102" s="44">
        <f t="shared" si="184"/>
        <v>-2.150671816</v>
      </c>
      <c r="AM102" s="9"/>
      <c r="AO102" s="3"/>
      <c r="AP102" s="1" t="s">
        <v>47</v>
      </c>
      <c r="AQ102" s="44">
        <f t="shared" ref="AQ102:AV102" si="185">SUM(AQ81:AQ101)</f>
        <v>-2.14151966</v>
      </c>
      <c r="AR102" s="44">
        <f t="shared" si="185"/>
        <v>-2.026562026</v>
      </c>
      <c r="AS102" s="44">
        <f t="shared" si="185"/>
        <v>-1.745570967</v>
      </c>
      <c r="AT102" s="44">
        <f t="shared" si="185"/>
        <v>-1.798202288</v>
      </c>
      <c r="AU102" s="44">
        <f t="shared" si="185"/>
        <v>-2.117458548</v>
      </c>
      <c r="AV102" s="44">
        <f t="shared" si="185"/>
        <v>-2.152602122</v>
      </c>
      <c r="AW102" s="9"/>
    </row>
    <row r="103" ht="14.25" customHeight="1">
      <c r="C103" s="9"/>
      <c r="D103" s="9"/>
      <c r="E103" s="9"/>
      <c r="F103" s="9"/>
      <c r="G103" s="9"/>
      <c r="H103" s="16"/>
      <c r="I103" s="9"/>
      <c r="K103" s="3"/>
      <c r="M103" s="9"/>
      <c r="N103" s="9"/>
      <c r="O103" s="9"/>
      <c r="P103" s="9"/>
      <c r="Q103" s="9"/>
      <c r="R103" s="16"/>
      <c r="S103" s="9"/>
      <c r="U103" s="3"/>
      <c r="W103" s="9"/>
      <c r="X103" s="9"/>
      <c r="Y103" s="9"/>
      <c r="Z103" s="9"/>
      <c r="AA103" s="9"/>
      <c r="AB103" s="16"/>
      <c r="AC103" s="9"/>
      <c r="AE103" s="3"/>
      <c r="AG103" s="9"/>
      <c r="AH103" s="9"/>
      <c r="AI103" s="9"/>
      <c r="AJ103" s="9"/>
      <c r="AK103" s="9"/>
      <c r="AL103" s="16"/>
      <c r="AM103" s="9"/>
      <c r="AO103" s="3"/>
      <c r="AQ103" s="9"/>
      <c r="AR103" s="9"/>
      <c r="AS103" s="9"/>
      <c r="AT103" s="9"/>
      <c r="AU103" s="9"/>
      <c r="AV103" s="16"/>
      <c r="AW103" s="9"/>
    </row>
    <row r="104" ht="14.25" customHeight="1">
      <c r="B104" s="33" t="s">
        <v>79</v>
      </c>
      <c r="C104" s="45" t="s">
        <v>80</v>
      </c>
      <c r="D104" s="31"/>
      <c r="E104" s="34"/>
      <c r="F104" s="46">
        <f>1/LN(21)</f>
        <v>0.3284587388</v>
      </c>
      <c r="G104" s="31">
        <f>1/LN(10)</f>
        <v>0.4342944819</v>
      </c>
      <c r="H104" s="31"/>
      <c r="I104" s="31"/>
      <c r="K104" s="3"/>
      <c r="L104" s="33" t="s">
        <v>79</v>
      </c>
      <c r="M104" s="45" t="s">
        <v>80</v>
      </c>
      <c r="N104" s="31"/>
      <c r="O104" s="34"/>
      <c r="P104" s="46">
        <f>1/LN(21)</f>
        <v>0.3284587388</v>
      </c>
      <c r="Q104" s="31">
        <f>1/LN(10)</f>
        <v>0.4342944819</v>
      </c>
      <c r="R104" s="31"/>
      <c r="S104" s="31"/>
      <c r="U104" s="3"/>
      <c r="V104" s="33" t="s">
        <v>79</v>
      </c>
      <c r="W104" s="45" t="s">
        <v>80</v>
      </c>
      <c r="X104" s="31"/>
      <c r="Y104" s="34"/>
      <c r="Z104" s="46">
        <f>1/LN(21)</f>
        <v>0.3284587388</v>
      </c>
      <c r="AA104" s="31">
        <f>1/LN(10)</f>
        <v>0.4342944819</v>
      </c>
      <c r="AB104" s="31"/>
      <c r="AC104" s="31"/>
      <c r="AE104" s="3"/>
      <c r="AF104" s="33" t="s">
        <v>79</v>
      </c>
      <c r="AG104" s="45" t="s">
        <v>80</v>
      </c>
      <c r="AH104" s="31"/>
      <c r="AI104" s="34"/>
      <c r="AJ104" s="46">
        <f>1/LN(21)</f>
        <v>0.3284587388</v>
      </c>
      <c r="AK104" s="31">
        <f>1/LN(10)</f>
        <v>0.4342944819</v>
      </c>
      <c r="AL104" s="31"/>
      <c r="AM104" s="31"/>
      <c r="AO104" s="3"/>
      <c r="AP104" s="33" t="s">
        <v>79</v>
      </c>
      <c r="AQ104" s="45" t="s">
        <v>80</v>
      </c>
      <c r="AR104" s="31"/>
      <c r="AS104" s="34"/>
      <c r="AT104" s="46">
        <f>1/LN(21)</f>
        <v>0.3284587388</v>
      </c>
      <c r="AU104" s="31">
        <f>1/LN(10)</f>
        <v>0.4342944819</v>
      </c>
      <c r="AV104" s="31"/>
      <c r="AW104" s="31"/>
    </row>
    <row r="105" ht="14.25" customHeight="1">
      <c r="C105" s="9" t="s">
        <v>33</v>
      </c>
      <c r="D105" s="9" t="s">
        <v>34</v>
      </c>
      <c r="E105" s="9" t="s">
        <v>35</v>
      </c>
      <c r="F105" s="9" t="s">
        <v>36</v>
      </c>
      <c r="G105" s="9" t="s">
        <v>37</v>
      </c>
      <c r="H105" s="9" t="s">
        <v>39</v>
      </c>
      <c r="I105" s="31"/>
      <c r="K105" s="3"/>
      <c r="M105" s="9" t="s">
        <v>33</v>
      </c>
      <c r="N105" s="9" t="s">
        <v>34</v>
      </c>
      <c r="O105" s="9" t="s">
        <v>35</v>
      </c>
      <c r="P105" s="9" t="s">
        <v>36</v>
      </c>
      <c r="Q105" s="9" t="s">
        <v>37</v>
      </c>
      <c r="R105" s="9" t="s">
        <v>39</v>
      </c>
      <c r="S105" s="31"/>
      <c r="U105" s="3"/>
      <c r="W105" s="9" t="s">
        <v>33</v>
      </c>
      <c r="X105" s="9" t="s">
        <v>34</v>
      </c>
      <c r="Y105" s="9" t="s">
        <v>35</v>
      </c>
      <c r="Z105" s="9" t="s">
        <v>36</v>
      </c>
      <c r="AA105" s="9" t="s">
        <v>37</v>
      </c>
      <c r="AB105" s="9" t="s">
        <v>39</v>
      </c>
      <c r="AC105" s="31"/>
      <c r="AE105" s="3"/>
      <c r="AG105" s="9" t="s">
        <v>33</v>
      </c>
      <c r="AH105" s="9" t="s">
        <v>34</v>
      </c>
      <c r="AI105" s="9" t="s">
        <v>35</v>
      </c>
      <c r="AJ105" s="9" t="s">
        <v>36</v>
      </c>
      <c r="AK105" s="9" t="s">
        <v>37</v>
      </c>
      <c r="AL105" s="9" t="s">
        <v>39</v>
      </c>
      <c r="AM105" s="31"/>
      <c r="AO105" s="3"/>
      <c r="AQ105" s="9" t="s">
        <v>33</v>
      </c>
      <c r="AR105" s="9" t="s">
        <v>34</v>
      </c>
      <c r="AS105" s="9" t="s">
        <v>35</v>
      </c>
      <c r="AT105" s="9" t="s">
        <v>36</v>
      </c>
      <c r="AU105" s="9" t="s">
        <v>37</v>
      </c>
      <c r="AV105" s="9" t="s">
        <v>39</v>
      </c>
      <c r="AW105" s="31"/>
    </row>
    <row r="106" ht="14.25" customHeight="1">
      <c r="B106" s="1" t="s">
        <v>81</v>
      </c>
      <c r="C106" s="31">
        <f t="shared" ref="C106:H106" si="186">$F$104*C102</f>
        <v>-0.7035667406</v>
      </c>
      <c r="D106" s="31">
        <f t="shared" si="186"/>
        <v>-0.624082659</v>
      </c>
      <c r="E106" s="31">
        <f t="shared" si="186"/>
        <v>-0.5593967767</v>
      </c>
      <c r="F106" s="31">
        <f t="shared" si="186"/>
        <v>-0.5757080852</v>
      </c>
      <c r="G106" s="31">
        <f t="shared" si="186"/>
        <v>-0.6822151739</v>
      </c>
      <c r="H106" s="31">
        <f t="shared" si="186"/>
        <v>-0.7021017331</v>
      </c>
      <c r="I106" s="31"/>
      <c r="K106" s="3"/>
      <c r="L106" s="1" t="s">
        <v>81</v>
      </c>
      <c r="M106" s="31">
        <f t="shared" ref="M106:R106" si="187">$F$104*M102</f>
        <v>-0.7067812453</v>
      </c>
      <c r="N106" s="31">
        <f t="shared" si="187"/>
        <v>-0.7126290699</v>
      </c>
      <c r="O106" s="31">
        <f t="shared" si="187"/>
        <v>-0.558709862</v>
      </c>
      <c r="P106" s="31">
        <f t="shared" si="187"/>
        <v>-0.5745810104</v>
      </c>
      <c r="Q106" s="31">
        <f t="shared" si="187"/>
        <v>-0.6834239238</v>
      </c>
      <c r="R106" s="31">
        <f t="shared" si="187"/>
        <v>-0.7051146743</v>
      </c>
      <c r="S106" s="31"/>
      <c r="U106" s="3"/>
      <c r="V106" s="1" t="s">
        <v>81</v>
      </c>
      <c r="W106" s="31">
        <f t="shared" ref="W106:AB106" si="188">$F$104*W102</f>
        <v>-0.7009188931</v>
      </c>
      <c r="X106" s="31">
        <f t="shared" si="188"/>
        <v>-0.7099354872</v>
      </c>
      <c r="Y106" s="31">
        <f t="shared" si="188"/>
        <v>-0.5614134759</v>
      </c>
      <c r="Z106" s="31">
        <f t="shared" si="188"/>
        <v>-0.5766918397</v>
      </c>
      <c r="AA106" s="31">
        <f t="shared" si="188"/>
        <v>-0.691874992</v>
      </c>
      <c r="AB106" s="31">
        <f t="shared" si="188"/>
        <v>-0.7080890647</v>
      </c>
      <c r="AC106" s="31"/>
      <c r="AE106" s="3"/>
      <c r="AF106" s="1" t="s">
        <v>81</v>
      </c>
      <c r="AG106" s="31">
        <f t="shared" ref="AG106:AL106" si="189">$F$104*AG102</f>
        <v>-0.7016073095</v>
      </c>
      <c r="AH106" s="31">
        <f t="shared" si="189"/>
        <v>-0.6602664688</v>
      </c>
      <c r="AI106" s="31">
        <f t="shared" si="189"/>
        <v>-0.5639527472</v>
      </c>
      <c r="AJ106" s="31">
        <f t="shared" si="189"/>
        <v>-0.5790344264</v>
      </c>
      <c r="AK106" s="31">
        <f t="shared" si="189"/>
        <v>-0.6878519915</v>
      </c>
      <c r="AL106" s="31">
        <f t="shared" si="189"/>
        <v>-0.7064069523</v>
      </c>
      <c r="AM106" s="31"/>
      <c r="AO106" s="3"/>
      <c r="AP106" s="1" t="s">
        <v>81</v>
      </c>
      <c r="AQ106" s="31">
        <f t="shared" ref="AQ106:AV106" si="190">$F$104*AQ102</f>
        <v>-0.7034008466</v>
      </c>
      <c r="AR106" s="31">
        <f t="shared" si="190"/>
        <v>-0.6656420071</v>
      </c>
      <c r="AS106" s="31">
        <f t="shared" si="190"/>
        <v>-0.5733480384</v>
      </c>
      <c r="AT106" s="31">
        <f t="shared" si="190"/>
        <v>-0.5906352556</v>
      </c>
      <c r="AU106" s="31">
        <f t="shared" si="190"/>
        <v>-0.6954977641</v>
      </c>
      <c r="AV106" s="31">
        <f t="shared" si="190"/>
        <v>-0.7070409781</v>
      </c>
      <c r="AW106" s="31"/>
    </row>
    <row r="107" ht="14.25" customHeight="1">
      <c r="C107" s="31"/>
      <c r="D107" s="31"/>
      <c r="E107" s="34"/>
      <c r="F107" s="31"/>
      <c r="G107" s="31"/>
      <c r="H107" s="31"/>
      <c r="I107" s="31"/>
      <c r="K107" s="3"/>
      <c r="M107" s="31"/>
      <c r="N107" s="31"/>
      <c r="O107" s="34"/>
      <c r="P107" s="31"/>
      <c r="Q107" s="31"/>
      <c r="R107" s="31"/>
      <c r="S107" s="31"/>
      <c r="U107" s="3"/>
      <c r="W107" s="31"/>
      <c r="X107" s="31"/>
      <c r="Y107" s="34"/>
      <c r="Z107" s="31"/>
      <c r="AA107" s="31"/>
      <c r="AB107" s="31"/>
      <c r="AC107" s="31"/>
      <c r="AE107" s="3"/>
      <c r="AG107" s="31"/>
      <c r="AH107" s="31"/>
      <c r="AI107" s="34"/>
      <c r="AJ107" s="31"/>
      <c r="AK107" s="31"/>
      <c r="AL107" s="31"/>
      <c r="AM107" s="31"/>
      <c r="AO107" s="3"/>
      <c r="AQ107" s="31"/>
      <c r="AR107" s="31"/>
      <c r="AS107" s="34"/>
      <c r="AT107" s="31"/>
      <c r="AU107" s="31"/>
      <c r="AV107" s="31"/>
      <c r="AW107" s="31"/>
    </row>
    <row r="108" ht="14.25" customHeight="1">
      <c r="B108" s="33" t="s">
        <v>82</v>
      </c>
      <c r="C108" s="31"/>
      <c r="D108" s="31"/>
      <c r="E108" s="34"/>
      <c r="F108" s="31"/>
      <c r="G108" s="31"/>
      <c r="H108" s="31"/>
      <c r="I108" s="31"/>
      <c r="K108" s="3"/>
      <c r="L108" s="33" t="s">
        <v>82</v>
      </c>
      <c r="M108" s="31"/>
      <c r="N108" s="31"/>
      <c r="O108" s="34"/>
      <c r="P108" s="31"/>
      <c r="Q108" s="31"/>
      <c r="R108" s="31"/>
      <c r="S108" s="31"/>
      <c r="U108" s="3"/>
      <c r="V108" s="33" t="s">
        <v>82</v>
      </c>
      <c r="W108" s="31"/>
      <c r="X108" s="31"/>
      <c r="Y108" s="34"/>
      <c r="Z108" s="31"/>
      <c r="AA108" s="31"/>
      <c r="AB108" s="31"/>
      <c r="AC108" s="31"/>
      <c r="AE108" s="3"/>
      <c r="AF108" s="33" t="s">
        <v>82</v>
      </c>
      <c r="AG108" s="31"/>
      <c r="AH108" s="31"/>
      <c r="AI108" s="34"/>
      <c r="AJ108" s="31"/>
      <c r="AK108" s="31"/>
      <c r="AL108" s="31"/>
      <c r="AM108" s="31"/>
      <c r="AO108" s="3"/>
      <c r="AP108" s="33" t="s">
        <v>82</v>
      </c>
      <c r="AQ108" s="31"/>
      <c r="AR108" s="31"/>
      <c r="AS108" s="34"/>
      <c r="AT108" s="31"/>
      <c r="AU108" s="31"/>
      <c r="AV108" s="31"/>
      <c r="AW108" s="31"/>
    </row>
    <row r="109" ht="14.25" customHeight="1">
      <c r="C109" s="9" t="s">
        <v>33</v>
      </c>
      <c r="D109" s="9" t="s">
        <v>34</v>
      </c>
      <c r="E109" s="9" t="s">
        <v>35</v>
      </c>
      <c r="F109" s="9" t="s">
        <v>36</v>
      </c>
      <c r="G109" s="9" t="s">
        <v>37</v>
      </c>
      <c r="H109" s="9" t="s">
        <v>39</v>
      </c>
      <c r="I109" s="47" t="s">
        <v>83</v>
      </c>
      <c r="K109" s="3"/>
      <c r="M109" s="9" t="s">
        <v>33</v>
      </c>
      <c r="N109" s="9" t="s">
        <v>34</v>
      </c>
      <c r="O109" s="9" t="s">
        <v>35</v>
      </c>
      <c r="P109" s="9" t="s">
        <v>36</v>
      </c>
      <c r="Q109" s="9" t="s">
        <v>37</v>
      </c>
      <c r="R109" s="9" t="s">
        <v>39</v>
      </c>
      <c r="S109" s="31"/>
      <c r="U109" s="3"/>
      <c r="W109" s="9" t="s">
        <v>33</v>
      </c>
      <c r="X109" s="9" t="s">
        <v>34</v>
      </c>
      <c r="Y109" s="9" t="s">
        <v>35</v>
      </c>
      <c r="Z109" s="9" t="s">
        <v>36</v>
      </c>
      <c r="AA109" s="9" t="s">
        <v>37</v>
      </c>
      <c r="AB109" s="9" t="s">
        <v>39</v>
      </c>
      <c r="AC109" s="31"/>
      <c r="AE109" s="3"/>
      <c r="AG109" s="9" t="s">
        <v>33</v>
      </c>
      <c r="AH109" s="9" t="s">
        <v>34</v>
      </c>
      <c r="AI109" s="9" t="s">
        <v>35</v>
      </c>
      <c r="AJ109" s="9" t="s">
        <v>36</v>
      </c>
      <c r="AK109" s="9" t="s">
        <v>37</v>
      </c>
      <c r="AL109" s="9" t="s">
        <v>39</v>
      </c>
      <c r="AM109" s="31"/>
      <c r="AO109" s="3"/>
      <c r="AQ109" s="9" t="s">
        <v>33</v>
      </c>
      <c r="AR109" s="9" t="s">
        <v>34</v>
      </c>
      <c r="AS109" s="9" t="s">
        <v>35</v>
      </c>
      <c r="AT109" s="9" t="s">
        <v>36</v>
      </c>
      <c r="AU109" s="9" t="s">
        <v>37</v>
      </c>
      <c r="AV109" s="9" t="s">
        <v>39</v>
      </c>
      <c r="AW109" s="31"/>
    </row>
    <row r="110" ht="14.25" customHeight="1">
      <c r="B110" s="1" t="s">
        <v>84</v>
      </c>
      <c r="C110" s="31">
        <f t="shared" ref="C110:H110" si="191">1-C106</f>
        <v>1.703566741</v>
      </c>
      <c r="D110" s="31">
        <f t="shared" si="191"/>
        <v>1.624082659</v>
      </c>
      <c r="E110" s="31">
        <f t="shared" si="191"/>
        <v>1.559396777</v>
      </c>
      <c r="F110" s="31">
        <f t="shared" si="191"/>
        <v>1.575708085</v>
      </c>
      <c r="G110" s="31">
        <f t="shared" si="191"/>
        <v>1.682215174</v>
      </c>
      <c r="H110" s="31">
        <f t="shared" si="191"/>
        <v>1.702101733</v>
      </c>
      <c r="I110" s="48">
        <f>SUM(C110:H110)</f>
        <v>9.847071168</v>
      </c>
      <c r="K110" s="3"/>
      <c r="L110" s="1" t="s">
        <v>84</v>
      </c>
      <c r="M110" s="31">
        <f t="shared" ref="M110:R110" si="192">1-M106</f>
        <v>1.706781245</v>
      </c>
      <c r="N110" s="31">
        <f t="shared" si="192"/>
        <v>1.71262907</v>
      </c>
      <c r="O110" s="31">
        <f t="shared" si="192"/>
        <v>1.558709862</v>
      </c>
      <c r="P110" s="31">
        <f t="shared" si="192"/>
        <v>1.57458101</v>
      </c>
      <c r="Q110" s="31">
        <f t="shared" si="192"/>
        <v>1.683423924</v>
      </c>
      <c r="R110" s="31">
        <f t="shared" si="192"/>
        <v>1.705114674</v>
      </c>
      <c r="S110" s="48">
        <f>SUM(M110:R110)</f>
        <v>9.941239786</v>
      </c>
      <c r="U110" s="3"/>
      <c r="V110" s="1" t="s">
        <v>84</v>
      </c>
      <c r="W110" s="31">
        <f t="shared" ref="W110:AB110" si="193">1-W106</f>
        <v>1.700918893</v>
      </c>
      <c r="X110" s="31">
        <f t="shared" si="193"/>
        <v>1.709935487</v>
      </c>
      <c r="Y110" s="31">
        <f t="shared" si="193"/>
        <v>1.561413476</v>
      </c>
      <c r="Z110" s="31">
        <f t="shared" si="193"/>
        <v>1.57669184</v>
      </c>
      <c r="AA110" s="31">
        <f t="shared" si="193"/>
        <v>1.691874992</v>
      </c>
      <c r="AB110" s="31">
        <f t="shared" si="193"/>
        <v>1.708089065</v>
      </c>
      <c r="AC110" s="48">
        <f>SUM(W110:AB110)</f>
        <v>9.948923753</v>
      </c>
      <c r="AE110" s="3"/>
      <c r="AF110" s="1" t="s">
        <v>84</v>
      </c>
      <c r="AG110" s="31">
        <f t="shared" ref="AG110:AL110" si="194">1-AG106</f>
        <v>1.701607309</v>
      </c>
      <c r="AH110" s="31">
        <f t="shared" si="194"/>
        <v>1.660266469</v>
      </c>
      <c r="AI110" s="31">
        <f t="shared" si="194"/>
        <v>1.563952747</v>
      </c>
      <c r="AJ110" s="31">
        <f t="shared" si="194"/>
        <v>1.579034426</v>
      </c>
      <c r="AK110" s="31">
        <f t="shared" si="194"/>
        <v>1.687851992</v>
      </c>
      <c r="AL110" s="31">
        <f t="shared" si="194"/>
        <v>1.706406952</v>
      </c>
      <c r="AM110" s="48">
        <f>SUM(AG110:AL110)</f>
        <v>9.899119896</v>
      </c>
      <c r="AO110" s="3"/>
      <c r="AP110" s="1" t="s">
        <v>84</v>
      </c>
      <c r="AQ110" s="31">
        <f t="shared" ref="AQ110:AV110" si="195">1-AQ106</f>
        <v>1.703400847</v>
      </c>
      <c r="AR110" s="31">
        <f t="shared" si="195"/>
        <v>1.665642007</v>
      </c>
      <c r="AS110" s="31">
        <f t="shared" si="195"/>
        <v>1.573348038</v>
      </c>
      <c r="AT110" s="31">
        <f t="shared" si="195"/>
        <v>1.590635256</v>
      </c>
      <c r="AU110" s="31">
        <f t="shared" si="195"/>
        <v>1.695497764</v>
      </c>
      <c r="AV110" s="31">
        <f t="shared" si="195"/>
        <v>1.707040978</v>
      </c>
      <c r="AW110" s="48">
        <f>SUM(AQ110:AV110)</f>
        <v>9.93556489</v>
      </c>
    </row>
    <row r="111" ht="14.25" customHeight="1">
      <c r="C111" s="31"/>
      <c r="D111" s="31"/>
      <c r="E111" s="34"/>
      <c r="F111" s="31"/>
      <c r="G111" s="31"/>
      <c r="H111" s="31"/>
      <c r="I111" s="31"/>
      <c r="K111" s="3"/>
      <c r="M111" s="31"/>
      <c r="N111" s="31"/>
      <c r="O111" s="34"/>
      <c r="P111" s="31"/>
      <c r="Q111" s="31"/>
      <c r="R111" s="31"/>
      <c r="S111" s="31"/>
      <c r="U111" s="3"/>
      <c r="W111" s="31"/>
      <c r="X111" s="31"/>
      <c r="Y111" s="34"/>
      <c r="Z111" s="31"/>
      <c r="AA111" s="31"/>
      <c r="AB111" s="31"/>
      <c r="AC111" s="31"/>
      <c r="AE111" s="3"/>
      <c r="AG111" s="31"/>
      <c r="AH111" s="31"/>
      <c r="AI111" s="34"/>
      <c r="AJ111" s="31"/>
      <c r="AK111" s="31"/>
      <c r="AL111" s="31"/>
      <c r="AM111" s="31"/>
      <c r="AO111" s="3"/>
      <c r="AQ111" s="31"/>
      <c r="AR111" s="31"/>
      <c r="AS111" s="34"/>
      <c r="AT111" s="31"/>
      <c r="AU111" s="31"/>
      <c r="AV111" s="31"/>
      <c r="AW111" s="31"/>
    </row>
    <row r="112" ht="14.25" customHeight="1">
      <c r="B112" s="33" t="s">
        <v>85</v>
      </c>
      <c r="C112" s="31"/>
      <c r="D112" s="31"/>
      <c r="E112" s="34"/>
      <c r="F112" s="31"/>
      <c r="G112" s="31"/>
      <c r="H112" s="31"/>
      <c r="I112" s="31"/>
      <c r="K112" s="3"/>
      <c r="L112" s="33" t="s">
        <v>85</v>
      </c>
      <c r="M112" s="31"/>
      <c r="N112" s="31"/>
      <c r="O112" s="34"/>
      <c r="P112" s="31"/>
      <c r="Q112" s="31"/>
      <c r="R112" s="31"/>
      <c r="S112" s="31"/>
      <c r="U112" s="3"/>
      <c r="V112" s="33" t="s">
        <v>85</v>
      </c>
      <c r="W112" s="31"/>
      <c r="X112" s="31"/>
      <c r="Y112" s="34"/>
      <c r="Z112" s="31"/>
      <c r="AA112" s="31"/>
      <c r="AB112" s="31"/>
      <c r="AC112" s="31"/>
      <c r="AE112" s="3"/>
      <c r="AF112" s="33" t="s">
        <v>85</v>
      </c>
      <c r="AG112" s="31"/>
      <c r="AH112" s="31"/>
      <c r="AI112" s="34"/>
      <c r="AJ112" s="31"/>
      <c r="AK112" s="31"/>
      <c r="AL112" s="31"/>
      <c r="AM112" s="31"/>
      <c r="AO112" s="3"/>
      <c r="AP112" s="33" t="s">
        <v>85</v>
      </c>
      <c r="AQ112" s="31"/>
      <c r="AR112" s="31"/>
      <c r="AS112" s="34"/>
      <c r="AT112" s="31"/>
      <c r="AU112" s="31"/>
      <c r="AV112" s="31"/>
      <c r="AW112" s="31"/>
    </row>
    <row r="113" ht="14.25" customHeight="1">
      <c r="B113" s="1" t="s">
        <v>86</v>
      </c>
      <c r="C113" s="30">
        <f t="shared" ref="C113:H113" si="196">+C110/$I110</f>
        <v>0.1730023792</v>
      </c>
      <c r="D113" s="30">
        <f t="shared" si="196"/>
        <v>0.1649305292</v>
      </c>
      <c r="E113" s="30">
        <f t="shared" si="196"/>
        <v>0.1583614813</v>
      </c>
      <c r="F113" s="30">
        <f t="shared" si="196"/>
        <v>0.1600179442</v>
      </c>
      <c r="G113" s="30">
        <f t="shared" si="196"/>
        <v>0.1708340627</v>
      </c>
      <c r="H113" s="30">
        <f t="shared" si="196"/>
        <v>0.1728536033</v>
      </c>
      <c r="I113" s="49">
        <f>SUM(C113:H113)</f>
        <v>1</v>
      </c>
      <c r="K113" s="3"/>
      <c r="L113" s="1" t="s">
        <v>86</v>
      </c>
      <c r="M113" s="30">
        <f t="shared" ref="M113:R113" si="197">+M110/$I110</f>
        <v>0.1733288219</v>
      </c>
      <c r="N113" s="30">
        <f t="shared" si="197"/>
        <v>0.1739226863</v>
      </c>
      <c r="O113" s="30">
        <f t="shared" si="197"/>
        <v>0.158291723</v>
      </c>
      <c r="P113" s="30">
        <f t="shared" si="197"/>
        <v>0.1599034864</v>
      </c>
      <c r="Q113" s="30">
        <f t="shared" si="197"/>
        <v>0.170956815</v>
      </c>
      <c r="R113" s="30">
        <f t="shared" si="197"/>
        <v>0.1731595766</v>
      </c>
      <c r="S113" s="49">
        <f>SUM(M113:R113)</f>
        <v>1.009563109</v>
      </c>
      <c r="U113" s="3"/>
      <c r="V113" s="1" t="s">
        <v>86</v>
      </c>
      <c r="W113" s="30">
        <f t="shared" ref="W113:AB113" si="198">+W110/$I110</f>
        <v>0.1727334823</v>
      </c>
      <c r="X113" s="30">
        <f t="shared" si="198"/>
        <v>0.1736491448</v>
      </c>
      <c r="Y113" s="30">
        <f t="shared" si="198"/>
        <v>0.1585662832</v>
      </c>
      <c r="Z113" s="30">
        <f t="shared" si="198"/>
        <v>0.1601178475</v>
      </c>
      <c r="AA113" s="30">
        <f t="shared" si="198"/>
        <v>0.1718150466</v>
      </c>
      <c r="AB113" s="30">
        <f t="shared" si="198"/>
        <v>0.173461635</v>
      </c>
      <c r="AC113" s="49">
        <f>SUM(W113:AB113)</f>
        <v>1.010343439</v>
      </c>
      <c r="AE113" s="3"/>
      <c r="AF113" s="1" t="s">
        <v>86</v>
      </c>
      <c r="AG113" s="30">
        <f t="shared" ref="AG113:AL113" si="199">+AG110/$I110</f>
        <v>0.172803393</v>
      </c>
      <c r="AH113" s="30">
        <f t="shared" si="199"/>
        <v>0.168605105</v>
      </c>
      <c r="AI113" s="30">
        <f t="shared" si="199"/>
        <v>0.158824154</v>
      </c>
      <c r="AJ113" s="30">
        <f t="shared" si="199"/>
        <v>0.1603557443</v>
      </c>
      <c r="AK113" s="30">
        <f t="shared" si="199"/>
        <v>0.1714064987</v>
      </c>
      <c r="AL113" s="30">
        <f t="shared" si="199"/>
        <v>0.1732908114</v>
      </c>
      <c r="AM113" s="49">
        <f>SUM(AG113:AL113)</f>
        <v>1.005285706</v>
      </c>
      <c r="AO113" s="3"/>
      <c r="AP113" s="1" t="s">
        <v>86</v>
      </c>
      <c r="AQ113" s="30">
        <f t="shared" ref="AQ113:AV113" si="200">+AQ110/$I110</f>
        <v>0.1729855322</v>
      </c>
      <c r="AR113" s="30">
        <f t="shared" si="200"/>
        <v>0.1691510073</v>
      </c>
      <c r="AS113" s="30">
        <f t="shared" si="200"/>
        <v>0.1597782743</v>
      </c>
      <c r="AT113" s="30">
        <f t="shared" si="200"/>
        <v>0.1615338438</v>
      </c>
      <c r="AU113" s="30">
        <f t="shared" si="200"/>
        <v>0.1721829502</v>
      </c>
      <c r="AV113" s="30">
        <f t="shared" si="200"/>
        <v>0.1733551986</v>
      </c>
      <c r="AW113" s="49">
        <f>SUM(AQ113:AV113)</f>
        <v>1.008986806</v>
      </c>
    </row>
    <row r="114" ht="14.25" customHeight="1">
      <c r="E114" s="50"/>
      <c r="K114" s="3"/>
      <c r="O114" s="50"/>
      <c r="U114" s="3"/>
      <c r="Y114" s="50"/>
      <c r="AE114" s="3"/>
      <c r="AI114" s="50"/>
      <c r="AO114" s="3"/>
      <c r="AS114" s="50"/>
    </row>
    <row r="115" ht="14.25" customHeight="1">
      <c r="B115" s="33" t="s">
        <v>87</v>
      </c>
      <c r="E115" s="50"/>
      <c r="K115" s="3"/>
      <c r="L115" s="33" t="s">
        <v>87</v>
      </c>
      <c r="O115" s="50"/>
      <c r="U115" s="3"/>
      <c r="V115" s="33" t="s">
        <v>87</v>
      </c>
      <c r="Y115" s="50"/>
      <c r="AE115" s="3"/>
      <c r="AF115" s="33" t="s">
        <v>87</v>
      </c>
      <c r="AI115" s="50"/>
      <c r="AO115" s="3"/>
      <c r="AP115" s="33" t="s">
        <v>87</v>
      </c>
      <c r="AS115" s="50"/>
    </row>
    <row r="116" ht="14.25" customHeight="1">
      <c r="B116" s="51" t="s">
        <v>88</v>
      </c>
      <c r="C116" s="9" t="s">
        <v>33</v>
      </c>
      <c r="D116" s="9" t="s">
        <v>34</v>
      </c>
      <c r="E116" s="9" t="s">
        <v>35</v>
      </c>
      <c r="F116" s="9" t="s">
        <v>36</v>
      </c>
      <c r="G116" s="9" t="s">
        <v>37</v>
      </c>
      <c r="H116" s="9" t="s">
        <v>39</v>
      </c>
      <c r="I116" s="52" t="s">
        <v>89</v>
      </c>
      <c r="J116" s="52" t="s">
        <v>90</v>
      </c>
      <c r="K116" s="3"/>
      <c r="L116" s="1" t="s">
        <v>32</v>
      </c>
      <c r="M116" s="9" t="s">
        <v>33</v>
      </c>
      <c r="N116" s="9" t="s">
        <v>34</v>
      </c>
      <c r="O116" s="9" t="s">
        <v>35</v>
      </c>
      <c r="P116" s="9" t="s">
        <v>36</v>
      </c>
      <c r="Q116" s="9" t="s">
        <v>37</v>
      </c>
      <c r="R116" s="9" t="s">
        <v>39</v>
      </c>
      <c r="S116" s="53" t="s">
        <v>89</v>
      </c>
      <c r="T116" s="53" t="s">
        <v>90</v>
      </c>
      <c r="U116" s="3"/>
      <c r="V116" s="1" t="s">
        <v>32</v>
      </c>
      <c r="W116" s="9" t="s">
        <v>33</v>
      </c>
      <c r="X116" s="9" t="s">
        <v>34</v>
      </c>
      <c r="Y116" s="9" t="s">
        <v>35</v>
      </c>
      <c r="Z116" s="9" t="s">
        <v>36</v>
      </c>
      <c r="AA116" s="9" t="s">
        <v>37</v>
      </c>
      <c r="AB116" s="9" t="s">
        <v>39</v>
      </c>
      <c r="AC116" s="53" t="s">
        <v>89</v>
      </c>
      <c r="AD116" s="53" t="s">
        <v>90</v>
      </c>
      <c r="AE116" s="3"/>
      <c r="AF116" s="1" t="s">
        <v>32</v>
      </c>
      <c r="AG116" s="9" t="s">
        <v>33</v>
      </c>
      <c r="AH116" s="9" t="s">
        <v>34</v>
      </c>
      <c r="AI116" s="9" t="s">
        <v>35</v>
      </c>
      <c r="AJ116" s="9" t="s">
        <v>36</v>
      </c>
      <c r="AK116" s="9" t="s">
        <v>37</v>
      </c>
      <c r="AL116" s="9" t="s">
        <v>39</v>
      </c>
      <c r="AM116" s="53" t="s">
        <v>89</v>
      </c>
      <c r="AN116" s="53" t="s">
        <v>90</v>
      </c>
      <c r="AO116" s="3"/>
      <c r="AP116" s="1" t="s">
        <v>32</v>
      </c>
      <c r="AQ116" s="9" t="s">
        <v>33</v>
      </c>
      <c r="AR116" s="9" t="s">
        <v>34</v>
      </c>
      <c r="AS116" s="9" t="s">
        <v>35</v>
      </c>
      <c r="AT116" s="9" t="s">
        <v>36</v>
      </c>
      <c r="AU116" s="9" t="s">
        <v>37</v>
      </c>
      <c r="AV116" s="9" t="s">
        <v>39</v>
      </c>
      <c r="AW116" s="53" t="s">
        <v>89</v>
      </c>
      <c r="AX116" s="53" t="s">
        <v>90</v>
      </c>
    </row>
    <row r="117" ht="14.25" customHeight="1">
      <c r="B117" s="8" t="s">
        <v>9</v>
      </c>
      <c r="C117" s="30">
        <f t="shared" ref="C117:H117" si="201">C$113*C30</f>
        <v>0.08833876222</v>
      </c>
      <c r="D117" s="30">
        <f t="shared" si="201"/>
        <v>0.01439219966</v>
      </c>
      <c r="E117" s="30">
        <f t="shared" si="201"/>
        <v>0.001075779109</v>
      </c>
      <c r="F117" s="30">
        <f t="shared" si="201"/>
        <v>0.006693843341</v>
      </c>
      <c r="G117" s="30">
        <f t="shared" si="201"/>
        <v>0.03853937841</v>
      </c>
      <c r="H117" s="30">
        <f t="shared" si="201"/>
        <v>0.08336202143</v>
      </c>
      <c r="I117" s="30">
        <f t="shared" ref="I117:I126" si="207">SUM(C117:H117)*100</f>
        <v>23.24019842</v>
      </c>
      <c r="J117" s="10">
        <f t="shared" ref="J117:J126" si="208">RANK(I117,$I$117:$I$137,0)</f>
        <v>9</v>
      </c>
      <c r="K117" s="3"/>
      <c r="L117" s="8" t="s">
        <v>9</v>
      </c>
      <c r="M117" s="30">
        <f t="shared" ref="M117:R117" si="202">M$113*M30</f>
        <v>0.1063643365</v>
      </c>
      <c r="N117" s="30">
        <f t="shared" si="202"/>
        <v>0.1263559778</v>
      </c>
      <c r="O117" s="30">
        <f t="shared" si="202"/>
        <v>0.001142597629</v>
      </c>
      <c r="P117" s="30">
        <f t="shared" si="202"/>
        <v>0.007111239215</v>
      </c>
      <c r="Q117" s="30">
        <f t="shared" si="202"/>
        <v>0.04089024005</v>
      </c>
      <c r="R117" s="30">
        <f t="shared" si="202"/>
        <v>0.08536888217</v>
      </c>
      <c r="S117" s="30">
        <f t="shared" ref="S117:S126" si="210">SUM(M117:R117)*100</f>
        <v>36.72332734</v>
      </c>
      <c r="T117" s="10">
        <f t="shared" ref="T117:T126" si="211">RANK(S117,$S$117:$S$126,0)</f>
        <v>8</v>
      </c>
      <c r="U117" s="3"/>
      <c r="V117" s="8" t="s">
        <v>9</v>
      </c>
      <c r="W117" s="30">
        <f t="shared" ref="W117:AB117" si="203">W$113*W30</f>
        <v>0.09501374898</v>
      </c>
      <c r="X117" s="30">
        <f t="shared" si="203"/>
        <v>0.1129989737</v>
      </c>
      <c r="Y117" s="30">
        <f t="shared" si="203"/>
        <v>0.001063524616</v>
      </c>
      <c r="Z117" s="30">
        <f t="shared" si="203"/>
        <v>0.005968913245</v>
      </c>
      <c r="AA117" s="30">
        <f t="shared" si="203"/>
        <v>0.04801149085</v>
      </c>
      <c r="AB117" s="30">
        <f t="shared" si="203"/>
        <v>0.0884888746</v>
      </c>
      <c r="AC117" s="30">
        <f t="shared" ref="AC117:AC126" si="213">SUM(W117:AB117)*100</f>
        <v>35.1545526</v>
      </c>
      <c r="AD117" s="10">
        <f t="shared" ref="AD117:AD126" si="214">RANK(AC117,$AC$117:$AC$126,0)</f>
        <v>8</v>
      </c>
      <c r="AE117" s="3"/>
      <c r="AF117" s="8" t="s">
        <v>9</v>
      </c>
      <c r="AG117" s="30">
        <f t="shared" ref="AG117:AL117" si="204">AG$113*AG30</f>
        <v>0.08415253378</v>
      </c>
      <c r="AH117" s="30">
        <f t="shared" si="204"/>
        <v>0.01746308537</v>
      </c>
      <c r="AI117" s="30">
        <f t="shared" si="204"/>
        <v>0.001007522911</v>
      </c>
      <c r="AJ117" s="30">
        <f t="shared" si="204"/>
        <v>0.005918325622</v>
      </c>
      <c r="AK117" s="30">
        <f t="shared" si="204"/>
        <v>0.03933370738</v>
      </c>
      <c r="AL117" s="30">
        <f t="shared" si="204"/>
        <v>0.08526031038</v>
      </c>
      <c r="AM117" s="30">
        <f t="shared" ref="AM117:AM126" si="216">SUM(AG117:AL117)*100</f>
        <v>23.31354854</v>
      </c>
      <c r="AN117" s="10">
        <f t="shared" ref="AN117:AN126" si="217">RANK(AM117,$AM$117:$AM$126,0)</f>
        <v>10</v>
      </c>
      <c r="AO117" s="3"/>
      <c r="AP117" s="8" t="s">
        <v>9</v>
      </c>
      <c r="AQ117" s="30">
        <f t="shared" ref="AQ117:AV117" si="205">AQ$113*AQ30</f>
        <v>0.09698820997</v>
      </c>
      <c r="AR117" s="30">
        <f t="shared" si="205"/>
        <v>0.1136474043</v>
      </c>
      <c r="AS117" s="30">
        <f t="shared" si="205"/>
        <v>0.001232994603</v>
      </c>
      <c r="AT117" s="30">
        <f t="shared" si="205"/>
        <v>0.007753576149</v>
      </c>
      <c r="AU117" s="30">
        <f t="shared" si="205"/>
        <v>0.05136903778</v>
      </c>
      <c r="AV117" s="30">
        <f t="shared" si="205"/>
        <v>0.08652085862</v>
      </c>
      <c r="AW117" s="30">
        <f t="shared" ref="AW117:AW126" si="219">SUM(AQ117:AV117)*100</f>
        <v>35.75120814</v>
      </c>
      <c r="AX117" s="10">
        <f t="shared" ref="AX117:AX126" si="220">RANK(AW117,$AW$117:$AW$126,0)</f>
        <v>8</v>
      </c>
    </row>
    <row r="118" ht="14.25" customHeight="1">
      <c r="B118" s="8" t="s">
        <v>10</v>
      </c>
      <c r="C118" s="30">
        <f t="shared" ref="C118:H118" si="206">C$113*C31</f>
        <v>0.06871553432</v>
      </c>
      <c r="D118" s="30">
        <f t="shared" si="206"/>
        <v>0.08466439342</v>
      </c>
      <c r="E118" s="30">
        <f t="shared" si="206"/>
        <v>0.08366919355</v>
      </c>
      <c r="F118" s="30">
        <f t="shared" si="206"/>
        <v>0.08830997355</v>
      </c>
      <c r="G118" s="30">
        <f t="shared" si="206"/>
        <v>0.1708340627</v>
      </c>
      <c r="H118" s="30">
        <f t="shared" si="206"/>
        <v>0.138221587</v>
      </c>
      <c r="I118" s="30">
        <f t="shared" si="207"/>
        <v>63.44147446</v>
      </c>
      <c r="J118" s="10">
        <f t="shared" si="208"/>
        <v>2</v>
      </c>
      <c r="K118" s="3"/>
      <c r="L118" s="8" t="s">
        <v>10</v>
      </c>
      <c r="M118" s="30">
        <f t="shared" ref="M118:R118" si="209">M$113*M31</f>
        <v>0.07430437698</v>
      </c>
      <c r="N118" s="30">
        <f t="shared" si="209"/>
        <v>0.1739226863</v>
      </c>
      <c r="O118" s="30">
        <f t="shared" si="209"/>
        <v>0.07601432165</v>
      </c>
      <c r="P118" s="30">
        <f t="shared" si="209"/>
        <v>0.08092444647</v>
      </c>
      <c r="Q118" s="30">
        <f t="shared" si="209"/>
        <v>0.170956815</v>
      </c>
      <c r="R118" s="30">
        <f t="shared" si="209"/>
        <v>0.1425841968</v>
      </c>
      <c r="S118" s="30">
        <f t="shared" si="210"/>
        <v>71.87068432</v>
      </c>
      <c r="T118" s="10">
        <f t="shared" si="211"/>
        <v>2</v>
      </c>
      <c r="U118" s="3"/>
      <c r="V118" s="8" t="s">
        <v>10</v>
      </c>
      <c r="W118" s="30">
        <f t="shared" ref="W118:AB118" si="212">W$113*W31</f>
        <v>0.06252627344</v>
      </c>
      <c r="X118" s="30">
        <f t="shared" si="212"/>
        <v>0.08125268703</v>
      </c>
      <c r="Y118" s="30">
        <f t="shared" si="212"/>
        <v>0.06277657464</v>
      </c>
      <c r="Z118" s="30">
        <f t="shared" si="212"/>
        <v>0.06533601712</v>
      </c>
      <c r="AA118" s="30">
        <f t="shared" si="212"/>
        <v>0.1718150466</v>
      </c>
      <c r="AB118" s="30">
        <f t="shared" si="212"/>
        <v>0.1447467022</v>
      </c>
      <c r="AC118" s="30">
        <f t="shared" si="213"/>
        <v>58.8453301</v>
      </c>
      <c r="AD118" s="10">
        <f t="shared" si="214"/>
        <v>3</v>
      </c>
      <c r="AE118" s="3"/>
      <c r="AF118" s="8" t="s">
        <v>10</v>
      </c>
      <c r="AG118" s="30">
        <f t="shared" ref="AG118:AL118" si="215">AG$113*AG31</f>
        <v>0.06019761534</v>
      </c>
      <c r="AH118" s="30">
        <f t="shared" si="215"/>
        <v>0.0559629617</v>
      </c>
      <c r="AI118" s="30">
        <f t="shared" si="215"/>
        <v>0.06555859964</v>
      </c>
      <c r="AJ118" s="30">
        <f t="shared" si="215"/>
        <v>0.06650300162</v>
      </c>
      <c r="AK118" s="30">
        <f t="shared" si="215"/>
        <v>0.1714064987</v>
      </c>
      <c r="AL118" s="30">
        <f t="shared" si="215"/>
        <v>0.1409719211</v>
      </c>
      <c r="AM118" s="30">
        <f t="shared" si="216"/>
        <v>56.06005982</v>
      </c>
      <c r="AN118" s="10">
        <f t="shared" si="217"/>
        <v>4</v>
      </c>
      <c r="AO118" s="3"/>
      <c r="AP118" s="8" t="s">
        <v>10</v>
      </c>
      <c r="AQ118" s="30">
        <f t="shared" ref="AQ118:AV118" si="218">AQ$113*AQ31</f>
        <v>0.06763318873</v>
      </c>
      <c r="AR118" s="30">
        <f t="shared" si="218"/>
        <v>0.06449140474</v>
      </c>
      <c r="AS118" s="30">
        <f t="shared" si="218"/>
        <v>0.07209654726</v>
      </c>
      <c r="AT118" s="30">
        <f t="shared" si="218"/>
        <v>0.0695982598</v>
      </c>
      <c r="AU118" s="30">
        <f t="shared" si="218"/>
        <v>0.1721829502</v>
      </c>
      <c r="AV118" s="30">
        <f t="shared" si="218"/>
        <v>0.144201431</v>
      </c>
      <c r="AW118" s="30">
        <f t="shared" si="219"/>
        <v>59.02037817</v>
      </c>
      <c r="AX118" s="10">
        <f t="shared" si="220"/>
        <v>3</v>
      </c>
    </row>
    <row r="119" ht="14.25" customHeight="1">
      <c r="B119" s="8" t="s">
        <v>13</v>
      </c>
      <c r="C119" s="30">
        <f t="shared" ref="C119:H119" si="221">C$113*C32</f>
        <v>0.1296224816</v>
      </c>
      <c r="D119" s="30">
        <f t="shared" si="221"/>
        <v>0.03971019398</v>
      </c>
      <c r="E119" s="30">
        <f t="shared" si="221"/>
        <v>0.08557390817</v>
      </c>
      <c r="F119" s="30">
        <f t="shared" si="221"/>
        <v>0.03242035534</v>
      </c>
      <c r="G119" s="30">
        <f t="shared" si="221"/>
        <v>0.1494605665</v>
      </c>
      <c r="H119" s="30">
        <f t="shared" si="221"/>
        <v>0.1403669331</v>
      </c>
      <c r="I119" s="30">
        <f t="shared" si="207"/>
        <v>57.71544388</v>
      </c>
      <c r="J119" s="10">
        <f t="shared" si="208"/>
        <v>3</v>
      </c>
      <c r="K119" s="3"/>
      <c r="L119" s="8" t="s">
        <v>13</v>
      </c>
      <c r="M119" s="30">
        <f t="shared" ref="M119:R119" si="222">M$113*M32</f>
        <v>0.1440848504</v>
      </c>
      <c r="N119" s="30">
        <f t="shared" si="222"/>
        <v>0.1111197442</v>
      </c>
      <c r="O119" s="30">
        <f t="shared" si="222"/>
        <v>0.08545595524</v>
      </c>
      <c r="P119" s="30">
        <f t="shared" si="222"/>
        <v>0.03209555167</v>
      </c>
      <c r="Q119" s="30">
        <f t="shared" si="222"/>
        <v>0.1479907904</v>
      </c>
      <c r="R119" s="30">
        <f t="shared" si="222"/>
        <v>0.1504550867</v>
      </c>
      <c r="S119" s="30">
        <f t="shared" si="210"/>
        <v>67.12019786</v>
      </c>
      <c r="T119" s="10">
        <f t="shared" si="211"/>
        <v>3</v>
      </c>
      <c r="U119" s="3"/>
      <c r="V119" s="8" t="s">
        <v>13</v>
      </c>
      <c r="W119" s="30">
        <f t="shared" ref="W119:AB119" si="223">W$113*W32</f>
        <v>0.1339185211</v>
      </c>
      <c r="X119" s="30">
        <f t="shared" si="223"/>
        <v>0.08514711851</v>
      </c>
      <c r="Y119" s="30">
        <f t="shared" si="223"/>
        <v>0.08321208327</v>
      </c>
      <c r="Z119" s="30">
        <f t="shared" si="223"/>
        <v>0.02959761774</v>
      </c>
      <c r="AA119" s="30">
        <f t="shared" si="223"/>
        <v>0.1674822448</v>
      </c>
      <c r="AB119" s="30">
        <f t="shared" si="223"/>
        <v>0.1555880544</v>
      </c>
      <c r="AC119" s="30">
        <f t="shared" si="213"/>
        <v>65.49456398</v>
      </c>
      <c r="AD119" s="10">
        <f t="shared" si="214"/>
        <v>2</v>
      </c>
      <c r="AE119" s="3"/>
      <c r="AF119" s="8" t="s">
        <v>13</v>
      </c>
      <c r="AG119" s="30">
        <f t="shared" ref="AG119:AL119" si="224">AG$113*AG32</f>
        <v>0.1289175686</v>
      </c>
      <c r="AH119" s="30">
        <f t="shared" si="224"/>
        <v>0.1019677806</v>
      </c>
      <c r="AI119" s="30">
        <f t="shared" si="224"/>
        <v>0.08578232412</v>
      </c>
      <c r="AJ119" s="30">
        <f t="shared" si="224"/>
        <v>0.02943384765</v>
      </c>
      <c r="AK119" s="30">
        <f t="shared" si="224"/>
        <v>0.1625721355</v>
      </c>
      <c r="AL119" s="30">
        <f t="shared" si="224"/>
        <v>0.1505136887</v>
      </c>
      <c r="AM119" s="30">
        <f t="shared" si="216"/>
        <v>65.91873453</v>
      </c>
      <c r="AN119" s="10">
        <f t="shared" si="217"/>
        <v>2</v>
      </c>
      <c r="AO119" s="3"/>
      <c r="AP119" s="8" t="s">
        <v>13</v>
      </c>
      <c r="AQ119" s="30">
        <f t="shared" ref="AQ119:AV119" si="225">AQ$113*AQ32</f>
        <v>0.1406088787</v>
      </c>
      <c r="AR119" s="30">
        <f t="shared" si="225"/>
        <v>0.06997016964</v>
      </c>
      <c r="AS119" s="30">
        <f t="shared" si="225"/>
        <v>0.08457595337</v>
      </c>
      <c r="AT119" s="30">
        <f t="shared" si="225"/>
        <v>0.02952778684</v>
      </c>
      <c r="AU119" s="30">
        <f t="shared" si="225"/>
        <v>0.1637866914</v>
      </c>
      <c r="AV119" s="30">
        <f t="shared" si="225"/>
        <v>0.1510980212</v>
      </c>
      <c r="AW119" s="30">
        <f t="shared" si="219"/>
        <v>63.95675011</v>
      </c>
      <c r="AX119" s="10">
        <f t="shared" si="220"/>
        <v>2</v>
      </c>
    </row>
    <row r="120" ht="14.25" customHeight="1">
      <c r="B120" s="8" t="s">
        <v>14</v>
      </c>
      <c r="C120" s="30">
        <f t="shared" ref="C120:H120" si="226">C$113*C33</f>
        <v>0.08597652745</v>
      </c>
      <c r="D120" s="30">
        <f t="shared" si="226"/>
        <v>0.1084445542</v>
      </c>
      <c r="E120" s="30">
        <f t="shared" si="226"/>
        <v>0</v>
      </c>
      <c r="F120" s="30">
        <f t="shared" si="226"/>
        <v>0</v>
      </c>
      <c r="G120" s="30">
        <f t="shared" si="226"/>
        <v>0</v>
      </c>
      <c r="H120" s="30">
        <f t="shared" si="226"/>
        <v>0</v>
      </c>
      <c r="I120" s="30">
        <f t="shared" si="207"/>
        <v>19.44210816</v>
      </c>
      <c r="J120" s="10">
        <f t="shared" si="208"/>
        <v>10</v>
      </c>
      <c r="K120" s="3"/>
      <c r="L120" s="8" t="s">
        <v>14</v>
      </c>
      <c r="M120" s="30">
        <f t="shared" ref="M120:R120" si="227">M$113*M33</f>
        <v>0.09613081987</v>
      </c>
      <c r="N120" s="30">
        <f t="shared" si="227"/>
        <v>0.08232030915</v>
      </c>
      <c r="O120" s="30">
        <f t="shared" si="227"/>
        <v>0</v>
      </c>
      <c r="P120" s="30">
        <f t="shared" si="227"/>
        <v>0</v>
      </c>
      <c r="Q120" s="30">
        <f t="shared" si="227"/>
        <v>0</v>
      </c>
      <c r="R120" s="30">
        <f t="shared" si="227"/>
        <v>0</v>
      </c>
      <c r="S120" s="30">
        <f t="shared" si="210"/>
        <v>17.8451129</v>
      </c>
      <c r="T120" s="10">
        <f t="shared" si="211"/>
        <v>10</v>
      </c>
      <c r="U120" s="3"/>
      <c r="V120" s="8" t="s">
        <v>14</v>
      </c>
      <c r="W120" s="30">
        <f t="shared" ref="W120:AB120" si="228">W$113*W33</f>
        <v>0.08844613579</v>
      </c>
      <c r="X120" s="30">
        <f t="shared" si="228"/>
        <v>0.1736491448</v>
      </c>
      <c r="Y120" s="30">
        <f t="shared" si="228"/>
        <v>0</v>
      </c>
      <c r="Z120" s="30">
        <f t="shared" si="228"/>
        <v>0</v>
      </c>
      <c r="AA120" s="30">
        <f t="shared" si="228"/>
        <v>0</v>
      </c>
      <c r="AB120" s="30">
        <f t="shared" si="228"/>
        <v>0</v>
      </c>
      <c r="AC120" s="30">
        <f t="shared" si="213"/>
        <v>26.20952806</v>
      </c>
      <c r="AD120" s="10">
        <f t="shared" si="214"/>
        <v>10</v>
      </c>
      <c r="AE120" s="3"/>
      <c r="AF120" s="8" t="s">
        <v>14</v>
      </c>
      <c r="AG120" s="30">
        <f t="shared" ref="AG120:AL120" si="229">AG$113*AG33</f>
        <v>0.07973026885</v>
      </c>
      <c r="AH120" s="30">
        <f t="shared" si="229"/>
        <v>0.168605105</v>
      </c>
      <c r="AI120" s="30">
        <f t="shared" si="229"/>
        <v>0</v>
      </c>
      <c r="AJ120" s="30">
        <f t="shared" si="229"/>
        <v>0</v>
      </c>
      <c r="AK120" s="30">
        <f t="shared" si="229"/>
        <v>0</v>
      </c>
      <c r="AL120" s="30">
        <f t="shared" si="229"/>
        <v>0</v>
      </c>
      <c r="AM120" s="30">
        <f t="shared" si="216"/>
        <v>24.83353739</v>
      </c>
      <c r="AN120" s="10">
        <f t="shared" si="217"/>
        <v>9</v>
      </c>
      <c r="AO120" s="3"/>
      <c r="AP120" s="8" t="s">
        <v>14</v>
      </c>
      <c r="AQ120" s="30">
        <f t="shared" ref="AQ120:AV120" si="230">AQ$113*AQ33</f>
        <v>0.07842559901</v>
      </c>
      <c r="AR120" s="30">
        <f t="shared" si="230"/>
        <v>0.1691510073</v>
      </c>
      <c r="AS120" s="30">
        <f t="shared" si="230"/>
        <v>0</v>
      </c>
      <c r="AT120" s="30">
        <f t="shared" si="230"/>
        <v>0</v>
      </c>
      <c r="AU120" s="30">
        <f t="shared" si="230"/>
        <v>0</v>
      </c>
      <c r="AV120" s="30">
        <f t="shared" si="230"/>
        <v>0</v>
      </c>
      <c r="AW120" s="30">
        <f t="shared" si="219"/>
        <v>24.75766063</v>
      </c>
      <c r="AX120" s="10">
        <f t="shared" si="220"/>
        <v>10</v>
      </c>
    </row>
    <row r="121" ht="14.25" customHeight="1">
      <c r="B121" s="8" t="s">
        <v>16</v>
      </c>
      <c r="C121" s="30">
        <f t="shared" ref="C121:H121" si="231">C$113*C34</f>
        <v>0.09970242898</v>
      </c>
      <c r="D121" s="30">
        <f t="shared" si="231"/>
        <v>0.0392768013</v>
      </c>
      <c r="E121" s="30">
        <f t="shared" si="231"/>
        <v>0.1583614813</v>
      </c>
      <c r="F121" s="30">
        <f t="shared" si="231"/>
        <v>0.1600179442</v>
      </c>
      <c r="G121" s="30">
        <f t="shared" si="231"/>
        <v>0.1082284291</v>
      </c>
      <c r="H121" s="30">
        <f t="shared" si="231"/>
        <v>0.1278013343</v>
      </c>
      <c r="I121" s="30">
        <f t="shared" si="207"/>
        <v>69.33884192</v>
      </c>
      <c r="J121" s="10">
        <f t="shared" si="208"/>
        <v>1</v>
      </c>
      <c r="K121" s="3"/>
      <c r="L121" s="8" t="s">
        <v>16</v>
      </c>
      <c r="M121" s="30">
        <f t="shared" ref="M121:R121" si="232">M$113*M34</f>
        <v>0.1092125522</v>
      </c>
      <c r="N121" s="30">
        <f t="shared" si="232"/>
        <v>0.1013209659</v>
      </c>
      <c r="O121" s="30">
        <f t="shared" si="232"/>
        <v>0.158291723</v>
      </c>
      <c r="P121" s="30">
        <f t="shared" si="232"/>
        <v>0.1599034864</v>
      </c>
      <c r="Q121" s="30">
        <f t="shared" si="232"/>
        <v>0.114927402</v>
      </c>
      <c r="R121" s="30">
        <f t="shared" si="232"/>
        <v>0.13531876</v>
      </c>
      <c r="S121" s="30">
        <f t="shared" si="210"/>
        <v>77.89748896</v>
      </c>
      <c r="T121" s="10">
        <f t="shared" si="211"/>
        <v>1</v>
      </c>
      <c r="U121" s="3"/>
      <c r="V121" s="8" t="s">
        <v>16</v>
      </c>
      <c r="W121" s="30">
        <f t="shared" ref="W121:AB121" si="233">W$113*W34</f>
        <v>0.09068156419</v>
      </c>
      <c r="X121" s="30">
        <f t="shared" si="233"/>
        <v>0.0940011167</v>
      </c>
      <c r="Y121" s="30">
        <f t="shared" si="233"/>
        <v>0.1585662832</v>
      </c>
      <c r="Z121" s="30">
        <f t="shared" si="233"/>
        <v>0.1601178475</v>
      </c>
      <c r="AA121" s="30">
        <f t="shared" si="233"/>
        <v>0.1115028404</v>
      </c>
      <c r="AB121" s="30">
        <f t="shared" si="233"/>
        <v>0.1403515594</v>
      </c>
      <c r="AC121" s="30">
        <f t="shared" si="213"/>
        <v>75.52212114</v>
      </c>
      <c r="AD121" s="10">
        <f t="shared" si="214"/>
        <v>1</v>
      </c>
      <c r="AE121" s="3"/>
      <c r="AF121" s="8" t="s">
        <v>16</v>
      </c>
      <c r="AG121" s="30">
        <f t="shared" ref="AG121:AL121" si="234">AG$113*AG34</f>
        <v>0.08271180469</v>
      </c>
      <c r="AH121" s="30">
        <f t="shared" si="234"/>
        <v>0.09309002074</v>
      </c>
      <c r="AI121" s="30">
        <f t="shared" si="234"/>
        <v>0.158824154</v>
      </c>
      <c r="AJ121" s="30">
        <f t="shared" si="234"/>
        <v>0.1603557443</v>
      </c>
      <c r="AK121" s="30">
        <f t="shared" si="234"/>
        <v>0.1131212513</v>
      </c>
      <c r="AL121" s="30">
        <f t="shared" si="234"/>
        <v>0.1348159421</v>
      </c>
      <c r="AM121" s="30">
        <f t="shared" si="216"/>
        <v>74.29189171</v>
      </c>
      <c r="AN121" s="10">
        <f t="shared" si="217"/>
        <v>1</v>
      </c>
      <c r="AO121" s="3"/>
      <c r="AP121" s="8" t="s">
        <v>16</v>
      </c>
      <c r="AQ121" s="30">
        <f t="shared" ref="AQ121:AV121" si="235">AQ$113*AQ34</f>
        <v>0.08563663082</v>
      </c>
      <c r="AR121" s="30">
        <f t="shared" si="235"/>
        <v>0.07460530106</v>
      </c>
      <c r="AS121" s="30">
        <f t="shared" si="235"/>
        <v>0.1597782743</v>
      </c>
      <c r="AT121" s="30">
        <f t="shared" si="235"/>
        <v>0.1615338438</v>
      </c>
      <c r="AU121" s="30">
        <f t="shared" si="235"/>
        <v>0.1235026065</v>
      </c>
      <c r="AV121" s="30">
        <f t="shared" si="235"/>
        <v>0.1366778781</v>
      </c>
      <c r="AW121" s="30">
        <f t="shared" si="219"/>
        <v>74.17345345</v>
      </c>
      <c r="AX121" s="10">
        <f t="shared" si="220"/>
        <v>1</v>
      </c>
    </row>
    <row r="122" ht="14.25" customHeight="1">
      <c r="B122" s="8" t="s">
        <v>17</v>
      </c>
      <c r="C122" s="30">
        <f t="shared" ref="C122:H122" si="236">C$113*C35</f>
        <v>0.09099923829</v>
      </c>
      <c r="D122" s="30">
        <f t="shared" si="236"/>
        <v>0.07254193332</v>
      </c>
      <c r="E122" s="30">
        <f t="shared" si="236"/>
        <v>0.02625200723</v>
      </c>
      <c r="F122" s="30">
        <f t="shared" si="236"/>
        <v>0.04090759851</v>
      </c>
      <c r="G122" s="30">
        <f t="shared" si="236"/>
        <v>0.1454628946</v>
      </c>
      <c r="H122" s="30">
        <f t="shared" si="236"/>
        <v>0.1314790706</v>
      </c>
      <c r="I122" s="30">
        <f t="shared" si="207"/>
        <v>50.76427425</v>
      </c>
      <c r="J122" s="10">
        <f t="shared" si="208"/>
        <v>4</v>
      </c>
      <c r="K122" s="3"/>
      <c r="L122" s="8" t="s">
        <v>17</v>
      </c>
      <c r="M122" s="30">
        <f t="shared" ref="M122:R122" si="237">M$113*M35</f>
        <v>0.1066627072</v>
      </c>
      <c r="N122" s="30">
        <f t="shared" si="237"/>
        <v>0.1163332948</v>
      </c>
      <c r="O122" s="30">
        <f t="shared" si="237"/>
        <v>0.0244461686</v>
      </c>
      <c r="P122" s="30">
        <f t="shared" si="237"/>
        <v>0.03689978896</v>
      </c>
      <c r="Q122" s="30">
        <f t="shared" si="237"/>
        <v>0.1457957786</v>
      </c>
      <c r="R122" s="30">
        <f t="shared" si="237"/>
        <v>0.134713307</v>
      </c>
      <c r="S122" s="30">
        <f t="shared" si="210"/>
        <v>56.48510452</v>
      </c>
      <c r="T122" s="10">
        <f t="shared" si="211"/>
        <v>5</v>
      </c>
      <c r="U122" s="3"/>
      <c r="V122" s="8" t="s">
        <v>17</v>
      </c>
      <c r="W122" s="30">
        <f t="shared" ref="W122:AB122" si="238">W$113*W35</f>
        <v>0.09482621839</v>
      </c>
      <c r="X122" s="30">
        <f t="shared" si="238"/>
        <v>0.1152503599</v>
      </c>
      <c r="Y122" s="30">
        <f t="shared" si="238"/>
        <v>0.02345403622</v>
      </c>
      <c r="Z122" s="30">
        <f t="shared" si="238"/>
        <v>0.03536764838</v>
      </c>
      <c r="AA122" s="30">
        <f t="shared" si="238"/>
        <v>0.1690500207</v>
      </c>
      <c r="AB122" s="30">
        <f t="shared" si="238"/>
        <v>0.1365424356</v>
      </c>
      <c r="AC122" s="30">
        <f t="shared" si="213"/>
        <v>57.44907193</v>
      </c>
      <c r="AD122" s="10">
        <f t="shared" si="214"/>
        <v>4</v>
      </c>
      <c r="AE122" s="3"/>
      <c r="AF122" s="8" t="s">
        <v>17</v>
      </c>
      <c r="AG122" s="30">
        <f t="shared" ref="AG122:AL122" si="239">AG$113*AG35</f>
        <v>0.08668345385</v>
      </c>
      <c r="AH122" s="30">
        <f t="shared" si="239"/>
        <v>0.01910097374</v>
      </c>
      <c r="AI122" s="30">
        <f t="shared" si="239"/>
        <v>0.02199808096</v>
      </c>
      <c r="AJ122" s="30">
        <f t="shared" si="239"/>
        <v>0.03394363337</v>
      </c>
      <c r="AK122" s="30">
        <f t="shared" si="239"/>
        <v>0.158911372</v>
      </c>
      <c r="AL122" s="30">
        <f t="shared" si="239"/>
        <v>0.1388173285</v>
      </c>
      <c r="AM122" s="30">
        <f t="shared" si="216"/>
        <v>45.94548424</v>
      </c>
      <c r="AN122" s="10">
        <f t="shared" si="217"/>
        <v>5</v>
      </c>
      <c r="AO122" s="3"/>
      <c r="AP122" s="8" t="s">
        <v>17</v>
      </c>
      <c r="AQ122" s="30">
        <f t="shared" ref="AQ122:AV122" si="240">AQ$113*AQ35</f>
        <v>0.08792926476</v>
      </c>
      <c r="AR122" s="30">
        <f t="shared" si="240"/>
        <v>0.01669256149</v>
      </c>
      <c r="AS122" s="30">
        <f t="shared" si="240"/>
        <v>0.02666102297</v>
      </c>
      <c r="AT122" s="30">
        <f t="shared" si="240"/>
        <v>0.04182872359</v>
      </c>
      <c r="AU122" s="30">
        <f t="shared" si="240"/>
        <v>0.1606128246</v>
      </c>
      <c r="AV122" s="30">
        <f t="shared" si="240"/>
        <v>0.1416935801</v>
      </c>
      <c r="AW122" s="30">
        <f t="shared" si="219"/>
        <v>47.54179775</v>
      </c>
      <c r="AX122" s="10">
        <f t="shared" si="220"/>
        <v>5</v>
      </c>
    </row>
    <row r="123" ht="14.25" customHeight="1">
      <c r="B123" s="8" t="s">
        <v>18</v>
      </c>
      <c r="C123" s="30">
        <f t="shared" ref="C123:H123" si="241">C$113*C36</f>
        <v>0.1176597588</v>
      </c>
      <c r="D123" s="30">
        <f t="shared" si="241"/>
        <v>0.05363210715</v>
      </c>
      <c r="E123" s="30">
        <f t="shared" si="241"/>
        <v>0.01293643501</v>
      </c>
      <c r="F123" s="30">
        <f t="shared" si="241"/>
        <v>0.0429216498</v>
      </c>
      <c r="G123" s="30">
        <f t="shared" si="241"/>
        <v>0.1534298616</v>
      </c>
      <c r="H123" s="30">
        <f t="shared" si="241"/>
        <v>0.1265754222</v>
      </c>
      <c r="I123" s="30">
        <f t="shared" si="207"/>
        <v>50.71552347</v>
      </c>
      <c r="J123" s="10">
        <f t="shared" si="208"/>
        <v>5</v>
      </c>
      <c r="K123" s="3"/>
      <c r="L123" s="8" t="s">
        <v>18</v>
      </c>
      <c r="M123" s="30">
        <f t="shared" ref="M123:R123" si="242">M$113*M36</f>
        <v>0.1135944366</v>
      </c>
      <c r="N123" s="30">
        <f t="shared" si="242"/>
        <v>0.1242244588</v>
      </c>
      <c r="O123" s="30">
        <f t="shared" si="242"/>
        <v>0.01253579068</v>
      </c>
      <c r="P123" s="30">
        <f t="shared" si="242"/>
        <v>0.0407510211</v>
      </c>
      <c r="Q123" s="30">
        <f t="shared" si="242"/>
        <v>0.1537380564</v>
      </c>
      <c r="R123" s="30">
        <f t="shared" si="242"/>
        <v>0.13531876</v>
      </c>
      <c r="S123" s="30">
        <f t="shared" si="210"/>
        <v>58.01625236</v>
      </c>
      <c r="T123" s="10">
        <f t="shared" si="211"/>
        <v>4</v>
      </c>
      <c r="U123" s="3"/>
      <c r="V123" s="8" t="s">
        <v>18</v>
      </c>
      <c r="W123" s="30">
        <f t="shared" ref="W123:AB123" si="243">W$113*W36</f>
        <v>0.1012868264</v>
      </c>
      <c r="X123" s="30">
        <f t="shared" si="243"/>
        <v>0.1055874936</v>
      </c>
      <c r="Y123" s="30">
        <f t="shared" si="243"/>
        <v>0.01176470205</v>
      </c>
      <c r="Z123" s="30">
        <f t="shared" si="243"/>
        <v>0.03672568395</v>
      </c>
      <c r="AA123" s="30">
        <f t="shared" si="243"/>
        <v>0.1641392702</v>
      </c>
      <c r="AB123" s="30">
        <f t="shared" si="243"/>
        <v>0.1397655404</v>
      </c>
      <c r="AC123" s="30">
        <f t="shared" si="213"/>
        <v>55.92695166</v>
      </c>
      <c r="AD123" s="10">
        <f t="shared" si="214"/>
        <v>5</v>
      </c>
      <c r="AE123" s="3"/>
      <c r="AF123" s="8" t="s">
        <v>18</v>
      </c>
      <c r="AG123" s="30">
        <f t="shared" ref="AG123:AL123" si="244">AG$113*AG36</f>
        <v>0.1013059033</v>
      </c>
      <c r="AH123" s="30">
        <f t="shared" si="244"/>
        <v>0.1415118645</v>
      </c>
      <c r="AI123" s="30">
        <f t="shared" si="244"/>
        <v>0.01136581941</v>
      </c>
      <c r="AJ123" s="30">
        <f t="shared" si="244"/>
        <v>0.03541373749</v>
      </c>
      <c r="AK123" s="30">
        <f t="shared" si="244"/>
        <v>0.1662550053</v>
      </c>
      <c r="AL123" s="30">
        <f t="shared" si="244"/>
        <v>0.135123741</v>
      </c>
      <c r="AM123" s="30">
        <f t="shared" si="216"/>
        <v>59.0976071</v>
      </c>
      <c r="AN123" s="10">
        <f t="shared" si="217"/>
        <v>3</v>
      </c>
      <c r="AO123" s="3"/>
      <c r="AP123" s="8" t="s">
        <v>18</v>
      </c>
      <c r="AQ123" s="30">
        <f t="shared" ref="AQ123:AV123" si="245">AQ$113*AQ36</f>
        <v>0.1121115489</v>
      </c>
      <c r="AR123" s="30">
        <f t="shared" si="245"/>
        <v>0.1263182346</v>
      </c>
      <c r="AS123" s="30">
        <f t="shared" si="245"/>
        <v>0.01029156927</v>
      </c>
      <c r="AT123" s="30">
        <f t="shared" si="245"/>
        <v>0.03351051709</v>
      </c>
      <c r="AU123" s="30">
        <f t="shared" si="245"/>
        <v>0.1517978486</v>
      </c>
      <c r="AV123" s="30">
        <f t="shared" si="245"/>
        <v>0.1354239526</v>
      </c>
      <c r="AW123" s="30">
        <f t="shared" si="219"/>
        <v>56.94536711</v>
      </c>
      <c r="AX123" s="10">
        <f t="shared" si="220"/>
        <v>4</v>
      </c>
    </row>
    <row r="124" ht="14.25" customHeight="1">
      <c r="B124" s="8" t="s">
        <v>19</v>
      </c>
      <c r="C124" s="30">
        <f t="shared" ref="C124:H124" si="246">C$113*C37</f>
        <v>0.1730023792</v>
      </c>
      <c r="D124" s="30">
        <f t="shared" si="246"/>
        <v>0.1649305292</v>
      </c>
      <c r="E124" s="30">
        <f t="shared" si="246"/>
        <v>0.006659071428</v>
      </c>
      <c r="F124" s="30">
        <f t="shared" si="246"/>
        <v>0.008487309784</v>
      </c>
      <c r="G124" s="30">
        <f t="shared" si="246"/>
        <v>0.07661564341</v>
      </c>
      <c r="H124" s="30">
        <f t="shared" si="246"/>
        <v>0.03340610418</v>
      </c>
      <c r="I124" s="30">
        <f t="shared" si="207"/>
        <v>46.31010372</v>
      </c>
      <c r="J124" s="10">
        <f t="shared" si="208"/>
        <v>6</v>
      </c>
      <c r="K124" s="3"/>
      <c r="L124" s="8" t="s">
        <v>19</v>
      </c>
      <c r="M124" s="30">
        <f t="shared" ref="M124:R124" si="247">M$113*M37</f>
        <v>0.1733288219</v>
      </c>
      <c r="N124" s="30">
        <f t="shared" si="247"/>
        <v>0.07638589051</v>
      </c>
      <c r="O124" s="30">
        <f t="shared" si="247"/>
        <v>0.005208336228</v>
      </c>
      <c r="P124" s="30">
        <f t="shared" si="247"/>
        <v>0.006822248831</v>
      </c>
      <c r="Q124" s="30">
        <f t="shared" si="247"/>
        <v>0.06947478909</v>
      </c>
      <c r="R124" s="30">
        <f t="shared" si="247"/>
        <v>0.04238171455</v>
      </c>
      <c r="S124" s="30">
        <f t="shared" si="210"/>
        <v>37.36018012</v>
      </c>
      <c r="T124" s="10">
        <f t="shared" si="211"/>
        <v>7</v>
      </c>
      <c r="U124" s="3"/>
      <c r="V124" s="8" t="s">
        <v>19</v>
      </c>
      <c r="W124" s="30">
        <f t="shared" ref="W124:AB124" si="248">W$113*W37</f>
        <v>0.1727334823</v>
      </c>
      <c r="X124" s="30">
        <f t="shared" si="248"/>
        <v>0.08525932444</v>
      </c>
      <c r="Y124" s="30">
        <f t="shared" si="248"/>
        <v>0.005629406151</v>
      </c>
      <c r="Z124" s="30">
        <f t="shared" si="248"/>
        <v>0.0069422523</v>
      </c>
      <c r="AA124" s="30">
        <f t="shared" si="248"/>
        <v>0.079301176</v>
      </c>
      <c r="AB124" s="30">
        <f t="shared" si="248"/>
        <v>0.05274171334</v>
      </c>
      <c r="AC124" s="30">
        <f t="shared" si="213"/>
        <v>40.26073545</v>
      </c>
      <c r="AD124" s="10">
        <f t="shared" si="214"/>
        <v>7</v>
      </c>
      <c r="AE124" s="3"/>
      <c r="AF124" s="8" t="s">
        <v>19</v>
      </c>
      <c r="AG124" s="30">
        <f t="shared" ref="AG124:AL124" si="249">AG$113*AG37</f>
        <v>0.172803393</v>
      </c>
      <c r="AH124" s="30">
        <f t="shared" si="249"/>
        <v>0.1106443124</v>
      </c>
      <c r="AI124" s="30">
        <f t="shared" si="249"/>
        <v>0.005806164135</v>
      </c>
      <c r="AJ124" s="30">
        <f t="shared" si="249"/>
        <v>0.007255209326</v>
      </c>
      <c r="AK124" s="30">
        <f t="shared" si="249"/>
        <v>0.07877798391</v>
      </c>
      <c r="AL124" s="30">
        <f t="shared" si="249"/>
        <v>0.04709324003</v>
      </c>
      <c r="AM124" s="30">
        <f t="shared" si="216"/>
        <v>42.23803029</v>
      </c>
      <c r="AN124" s="10">
        <f t="shared" si="217"/>
        <v>7</v>
      </c>
      <c r="AO124" s="3"/>
      <c r="AP124" s="8" t="s">
        <v>19</v>
      </c>
      <c r="AQ124" s="30">
        <f t="shared" ref="AQ124:AV124" si="250">AQ$113*AQ37</f>
        <v>0.1729855322</v>
      </c>
      <c r="AR124" s="30">
        <f t="shared" si="250"/>
        <v>0.04965306897</v>
      </c>
      <c r="AS124" s="30">
        <f t="shared" si="250"/>
        <v>0.005616839233</v>
      </c>
      <c r="AT124" s="30">
        <f t="shared" si="250"/>
        <v>0.008189365759</v>
      </c>
      <c r="AU124" s="30">
        <f t="shared" si="250"/>
        <v>0.08040766088</v>
      </c>
      <c r="AV124" s="30">
        <f t="shared" si="250"/>
        <v>0.04921657537</v>
      </c>
      <c r="AW124" s="30">
        <f t="shared" si="219"/>
        <v>36.60690424</v>
      </c>
      <c r="AX124" s="10">
        <f t="shared" si="220"/>
        <v>7</v>
      </c>
    </row>
    <row r="125" ht="14.25" customHeight="1">
      <c r="B125" s="8" t="s">
        <v>20</v>
      </c>
      <c r="C125" s="30">
        <f t="shared" ref="C125:H125" si="251">C$113*C38</f>
        <v>0.05054017786</v>
      </c>
      <c r="D125" s="30">
        <f t="shared" si="251"/>
        <v>0</v>
      </c>
      <c r="E125" s="30">
        <f t="shared" si="251"/>
        <v>0.01976197069</v>
      </c>
      <c r="F125" s="30">
        <f t="shared" si="251"/>
        <v>0.02382134362</v>
      </c>
      <c r="G125" s="30">
        <f t="shared" si="251"/>
        <v>0.07692298645</v>
      </c>
      <c r="H125" s="30">
        <f t="shared" si="251"/>
        <v>0.1259624662</v>
      </c>
      <c r="I125" s="30">
        <f t="shared" si="207"/>
        <v>29.70089448</v>
      </c>
      <c r="J125" s="10">
        <f t="shared" si="208"/>
        <v>7</v>
      </c>
      <c r="K125" s="3"/>
      <c r="L125" s="8" t="s">
        <v>20</v>
      </c>
      <c r="M125" s="30">
        <f t="shared" ref="M125:R125" si="252">M$113*M38</f>
        <v>0.05540193839</v>
      </c>
      <c r="N125" s="30">
        <f t="shared" si="252"/>
        <v>0.1346484998</v>
      </c>
      <c r="O125" s="30">
        <f t="shared" si="252"/>
        <v>0.02163415724</v>
      </c>
      <c r="P125" s="30">
        <f t="shared" si="252"/>
        <v>0.02528913377</v>
      </c>
      <c r="Q125" s="30">
        <f t="shared" si="252"/>
        <v>0.08508338921</v>
      </c>
      <c r="R125" s="30">
        <f t="shared" si="252"/>
        <v>0.1316860416</v>
      </c>
      <c r="S125" s="30">
        <f t="shared" si="210"/>
        <v>45.37431601</v>
      </c>
      <c r="T125" s="10">
        <f t="shared" si="211"/>
        <v>6</v>
      </c>
      <c r="U125" s="3"/>
      <c r="V125" s="8" t="s">
        <v>20</v>
      </c>
      <c r="W125" s="30">
        <f t="shared" ref="W125:AB125" si="253">W$113*W38</f>
        <v>0.04427328296</v>
      </c>
      <c r="X125" s="30">
        <f t="shared" si="253"/>
        <v>0</v>
      </c>
      <c r="Y125" s="30">
        <f t="shared" si="253"/>
        <v>0.01973932434</v>
      </c>
      <c r="Z125" s="30">
        <f t="shared" si="253"/>
        <v>0.02404421783</v>
      </c>
      <c r="AA125" s="30">
        <f t="shared" si="253"/>
        <v>0.09632807158</v>
      </c>
      <c r="AB125" s="30">
        <f t="shared" si="253"/>
        <v>0.1467977688</v>
      </c>
      <c r="AC125" s="30">
        <f t="shared" si="213"/>
        <v>33.11826655</v>
      </c>
      <c r="AD125" s="10">
        <f t="shared" si="214"/>
        <v>9</v>
      </c>
      <c r="AE125" s="3"/>
      <c r="AF125" s="8" t="s">
        <v>20</v>
      </c>
      <c r="AG125" s="30">
        <f t="shared" ref="AG125:AL125" si="254">AG$113*AG38</f>
        <v>0.05428488815</v>
      </c>
      <c r="AH125" s="30">
        <f t="shared" si="254"/>
        <v>0.05374308768</v>
      </c>
      <c r="AI125" s="30">
        <f t="shared" si="254"/>
        <v>0.02829972493</v>
      </c>
      <c r="AJ125" s="30">
        <f t="shared" si="254"/>
        <v>0.03442564721</v>
      </c>
      <c r="AK125" s="30">
        <f t="shared" si="254"/>
        <v>0.1106536186</v>
      </c>
      <c r="AL125" s="30">
        <f t="shared" si="254"/>
        <v>0.1455889055</v>
      </c>
      <c r="AM125" s="30">
        <f t="shared" si="216"/>
        <v>42.6995872</v>
      </c>
      <c r="AN125" s="10">
        <f t="shared" si="217"/>
        <v>6</v>
      </c>
      <c r="AO125" s="3"/>
      <c r="AP125" s="8" t="s">
        <v>20</v>
      </c>
      <c r="AQ125" s="30">
        <f t="shared" ref="AQ125:AV125" si="255">AQ$113*AQ38</f>
        <v>0.0586915991</v>
      </c>
      <c r="AR125" s="30">
        <f t="shared" si="255"/>
        <v>0</v>
      </c>
      <c r="AS125" s="30">
        <f t="shared" si="255"/>
        <v>0.0312988476</v>
      </c>
      <c r="AT125" s="30">
        <f t="shared" si="255"/>
        <v>0.03509873392</v>
      </c>
      <c r="AU125" s="30">
        <f t="shared" si="255"/>
        <v>0.1058538638</v>
      </c>
      <c r="AV125" s="30">
        <f t="shared" si="255"/>
        <v>0.1470227634</v>
      </c>
      <c r="AW125" s="30">
        <f t="shared" si="219"/>
        <v>37.79658078</v>
      </c>
      <c r="AX125" s="10">
        <f t="shared" si="220"/>
        <v>6</v>
      </c>
    </row>
    <row r="126" ht="14.25" customHeight="1">
      <c r="B126" s="8" t="s">
        <v>21</v>
      </c>
      <c r="C126" s="30">
        <f t="shared" ref="C126:H126" si="256">C$113*C39</f>
        <v>0</v>
      </c>
      <c r="D126" s="30">
        <f t="shared" si="256"/>
        <v>0.0006365658795</v>
      </c>
      <c r="E126" s="30">
        <f t="shared" si="256"/>
        <v>0.03141590997</v>
      </c>
      <c r="F126" s="30">
        <f t="shared" si="256"/>
        <v>0.008244045616</v>
      </c>
      <c r="G126" s="30">
        <f t="shared" si="256"/>
        <v>0.03138460742</v>
      </c>
      <c r="H126" s="30">
        <f t="shared" si="256"/>
        <v>0.1728536033</v>
      </c>
      <c r="I126" s="30">
        <f t="shared" si="207"/>
        <v>24.45347322</v>
      </c>
      <c r="J126" s="10">
        <f t="shared" si="208"/>
        <v>8</v>
      </c>
      <c r="K126" s="3"/>
      <c r="L126" s="8" t="s">
        <v>21</v>
      </c>
      <c r="M126" s="30">
        <f t="shared" ref="M126:R126" si="257">M$113*M39</f>
        <v>0</v>
      </c>
      <c r="N126" s="30">
        <f t="shared" si="257"/>
        <v>0</v>
      </c>
      <c r="O126" s="30">
        <f t="shared" si="257"/>
        <v>0.03433590148</v>
      </c>
      <c r="P126" s="30">
        <f t="shared" si="257"/>
        <v>0.009250335918</v>
      </c>
      <c r="Q126" s="30">
        <f t="shared" si="257"/>
        <v>0.03188878537</v>
      </c>
      <c r="R126" s="30">
        <f t="shared" si="257"/>
        <v>0.1731595766</v>
      </c>
      <c r="S126" s="30">
        <f t="shared" si="210"/>
        <v>24.86345994</v>
      </c>
      <c r="T126" s="10">
        <f t="shared" si="211"/>
        <v>9</v>
      </c>
      <c r="U126" s="3"/>
      <c r="V126" s="8" t="s">
        <v>21</v>
      </c>
      <c r="W126" s="30">
        <f t="shared" ref="W126:AB126" si="258">W$113*W39</f>
        <v>0</v>
      </c>
      <c r="X126" s="30">
        <f t="shared" si="258"/>
        <v>0.157706171</v>
      </c>
      <c r="Y126" s="30">
        <f t="shared" si="258"/>
        <v>0.04894144301</v>
      </c>
      <c r="Z126" s="30">
        <f t="shared" si="258"/>
        <v>0.01521719885</v>
      </c>
      <c r="AA126" s="30">
        <f t="shared" si="258"/>
        <v>0.05327991758</v>
      </c>
      <c r="AB126" s="30">
        <f t="shared" si="258"/>
        <v>0.173461635</v>
      </c>
      <c r="AC126" s="30">
        <f t="shared" si="213"/>
        <v>44.86063654</v>
      </c>
      <c r="AD126" s="10">
        <f t="shared" si="214"/>
        <v>6</v>
      </c>
      <c r="AE126" s="3"/>
      <c r="AF126" s="8" t="s">
        <v>21</v>
      </c>
      <c r="AG126" s="30">
        <f t="shared" ref="AG126:AL126" si="259">AG$113*AG39</f>
        <v>0</v>
      </c>
      <c r="AH126" s="30">
        <f t="shared" si="259"/>
        <v>0</v>
      </c>
      <c r="AI126" s="30">
        <f t="shared" si="259"/>
        <v>0.0407147738</v>
      </c>
      <c r="AJ126" s="30">
        <f t="shared" si="259"/>
        <v>0.01247263241</v>
      </c>
      <c r="AK126" s="30">
        <f t="shared" si="259"/>
        <v>0.04326071424</v>
      </c>
      <c r="AL126" s="30">
        <f t="shared" si="259"/>
        <v>0.1732908114</v>
      </c>
      <c r="AM126" s="30">
        <f t="shared" si="216"/>
        <v>26.97389318</v>
      </c>
      <c r="AN126" s="10">
        <f t="shared" si="217"/>
        <v>8</v>
      </c>
      <c r="AO126" s="3"/>
      <c r="AP126" s="8" t="s">
        <v>21</v>
      </c>
      <c r="AQ126" s="30">
        <f t="shared" ref="AQ126:AV126" si="260">AQ$113*AQ39</f>
        <v>0</v>
      </c>
      <c r="AR126" s="30">
        <f t="shared" si="260"/>
        <v>0.03001211489</v>
      </c>
      <c r="AS126" s="30">
        <f t="shared" si="260"/>
        <v>0.05208980034</v>
      </c>
      <c r="AT126" s="30">
        <f t="shared" si="260"/>
        <v>0.01579030644</v>
      </c>
      <c r="AU126" s="30">
        <f t="shared" si="260"/>
        <v>0.05232047321</v>
      </c>
      <c r="AV126" s="30">
        <f t="shared" si="260"/>
        <v>0.1733551986</v>
      </c>
      <c r="AW126" s="30">
        <f t="shared" si="219"/>
        <v>32.35678935</v>
      </c>
      <c r="AX126" s="10">
        <f t="shared" si="220"/>
        <v>9</v>
      </c>
    </row>
    <row r="127" ht="14.25" customHeight="1">
      <c r="C127" s="30"/>
      <c r="D127" s="30"/>
      <c r="E127" s="30"/>
      <c r="F127" s="30"/>
      <c r="G127" s="30"/>
      <c r="H127" s="30"/>
      <c r="I127" s="30"/>
      <c r="J127" s="10"/>
      <c r="K127" s="3"/>
      <c r="M127" s="30"/>
      <c r="N127" s="30"/>
      <c r="O127" s="30"/>
      <c r="P127" s="30"/>
      <c r="Q127" s="30"/>
      <c r="R127" s="30"/>
      <c r="S127" s="30"/>
      <c r="T127" s="10"/>
      <c r="U127" s="3"/>
      <c r="W127" s="30"/>
      <c r="X127" s="30"/>
      <c r="Y127" s="30"/>
      <c r="Z127" s="30"/>
      <c r="AA127" s="30"/>
      <c r="AB127" s="30"/>
      <c r="AC127" s="30"/>
      <c r="AD127" s="10"/>
      <c r="AE127" s="3"/>
      <c r="AG127" s="30"/>
      <c r="AH127" s="30"/>
      <c r="AI127" s="30"/>
      <c r="AJ127" s="30"/>
      <c r="AK127" s="30"/>
      <c r="AL127" s="30"/>
      <c r="AM127" s="30"/>
      <c r="AN127" s="10"/>
      <c r="AO127" s="3"/>
      <c r="AQ127" s="30"/>
      <c r="AR127" s="30"/>
      <c r="AS127" s="30"/>
      <c r="AT127" s="30"/>
      <c r="AU127" s="30"/>
      <c r="AV127" s="30"/>
      <c r="AW127" s="30"/>
      <c r="AX127" s="10"/>
    </row>
    <row r="128" ht="14.25" customHeight="1">
      <c r="C128" s="30"/>
      <c r="D128" s="30"/>
      <c r="E128" s="30"/>
      <c r="F128" s="30"/>
      <c r="G128" s="30"/>
      <c r="H128" s="30"/>
      <c r="I128" s="30"/>
      <c r="J128" s="10"/>
      <c r="K128" s="3"/>
      <c r="M128" s="30"/>
      <c r="N128" s="30"/>
      <c r="O128" s="30"/>
      <c r="P128" s="30"/>
      <c r="Q128" s="30"/>
      <c r="R128" s="30"/>
      <c r="S128" s="30"/>
      <c r="T128" s="10"/>
      <c r="U128" s="3"/>
      <c r="W128" s="30"/>
      <c r="X128" s="30"/>
      <c r="Y128" s="30"/>
      <c r="Z128" s="30"/>
      <c r="AA128" s="30"/>
      <c r="AB128" s="30"/>
      <c r="AC128" s="30"/>
      <c r="AD128" s="10"/>
      <c r="AE128" s="3"/>
      <c r="AG128" s="30"/>
      <c r="AH128" s="30"/>
      <c r="AI128" s="30"/>
      <c r="AJ128" s="30"/>
      <c r="AK128" s="30"/>
      <c r="AL128" s="30"/>
      <c r="AM128" s="30"/>
      <c r="AN128" s="10"/>
      <c r="AO128" s="3"/>
      <c r="AQ128" s="30"/>
      <c r="AR128" s="30"/>
      <c r="AS128" s="30"/>
      <c r="AT128" s="30"/>
      <c r="AU128" s="30"/>
      <c r="AV128" s="30"/>
      <c r="AW128" s="30"/>
      <c r="AX128" s="10"/>
    </row>
    <row r="129" ht="14.25" customHeight="1">
      <c r="C129" s="30"/>
      <c r="D129" s="30"/>
      <c r="E129" s="30"/>
      <c r="F129" s="30"/>
      <c r="G129" s="30"/>
      <c r="H129" s="30"/>
      <c r="I129" s="30"/>
      <c r="J129" s="10"/>
      <c r="K129" s="3"/>
      <c r="M129" s="30"/>
      <c r="N129" s="30"/>
      <c r="O129" s="30"/>
      <c r="P129" s="30"/>
      <c r="Q129" s="30"/>
      <c r="R129" s="30"/>
      <c r="S129" s="30"/>
      <c r="T129" s="10"/>
      <c r="U129" s="3"/>
      <c r="W129" s="30"/>
      <c r="X129" s="30"/>
      <c r="Y129" s="30"/>
      <c r="Z129" s="30"/>
      <c r="AA129" s="30"/>
      <c r="AB129" s="30"/>
      <c r="AC129" s="30"/>
      <c r="AD129" s="10"/>
      <c r="AE129" s="3"/>
      <c r="AG129" s="30"/>
      <c r="AH129" s="30"/>
      <c r="AI129" s="30"/>
      <c r="AJ129" s="30"/>
      <c r="AK129" s="30"/>
      <c r="AL129" s="30"/>
      <c r="AM129" s="30"/>
      <c r="AN129" s="10"/>
      <c r="AO129" s="3"/>
      <c r="AQ129" s="30"/>
      <c r="AR129" s="30"/>
      <c r="AS129" s="30"/>
      <c r="AT129" s="30"/>
      <c r="AU129" s="30"/>
      <c r="AV129" s="30"/>
      <c r="AW129" s="30"/>
      <c r="AX129" s="10"/>
    </row>
    <row r="130" ht="14.25" customHeight="1">
      <c r="C130" s="30"/>
      <c r="D130" s="30"/>
      <c r="E130" s="30"/>
      <c r="F130" s="30"/>
      <c r="G130" s="30"/>
      <c r="H130" s="30"/>
      <c r="I130" s="30"/>
      <c r="J130" s="10"/>
      <c r="K130" s="3"/>
      <c r="M130" s="30"/>
      <c r="N130" s="30"/>
      <c r="O130" s="30"/>
      <c r="P130" s="30"/>
      <c r="Q130" s="30"/>
      <c r="R130" s="30"/>
      <c r="S130" s="30"/>
      <c r="T130" s="10"/>
      <c r="U130" s="3"/>
      <c r="W130" s="30"/>
      <c r="X130" s="30"/>
      <c r="Y130" s="30"/>
      <c r="Z130" s="30"/>
      <c r="AA130" s="30"/>
      <c r="AB130" s="30"/>
      <c r="AC130" s="30"/>
      <c r="AD130" s="10"/>
      <c r="AE130" s="3"/>
      <c r="AG130" s="30"/>
      <c r="AH130" s="30"/>
      <c r="AI130" s="30"/>
      <c r="AJ130" s="30"/>
      <c r="AK130" s="30"/>
      <c r="AL130" s="30"/>
      <c r="AM130" s="30"/>
      <c r="AN130" s="10"/>
      <c r="AO130" s="3"/>
      <c r="AQ130" s="30"/>
      <c r="AR130" s="30"/>
      <c r="AS130" s="30"/>
      <c r="AT130" s="30"/>
      <c r="AU130" s="30"/>
      <c r="AV130" s="30"/>
      <c r="AW130" s="30"/>
      <c r="AX130" s="10"/>
    </row>
    <row r="131" ht="14.25" customHeight="1">
      <c r="C131" s="30"/>
      <c r="D131" s="30"/>
      <c r="E131" s="30"/>
      <c r="F131" s="30"/>
      <c r="G131" s="30"/>
      <c r="H131" s="30"/>
      <c r="I131" s="30"/>
      <c r="J131" s="10"/>
      <c r="K131" s="3"/>
      <c r="M131" s="30"/>
      <c r="N131" s="30"/>
      <c r="O131" s="30"/>
      <c r="P131" s="30"/>
      <c r="Q131" s="30"/>
      <c r="R131" s="30"/>
      <c r="S131" s="30"/>
      <c r="T131" s="10"/>
      <c r="U131" s="3"/>
      <c r="W131" s="30"/>
      <c r="X131" s="30"/>
      <c r="Y131" s="30"/>
      <c r="Z131" s="30"/>
      <c r="AA131" s="30"/>
      <c r="AB131" s="30"/>
      <c r="AC131" s="30"/>
      <c r="AD131" s="10"/>
      <c r="AE131" s="3"/>
      <c r="AG131" s="30"/>
      <c r="AH131" s="30"/>
      <c r="AI131" s="30"/>
      <c r="AJ131" s="30"/>
      <c r="AK131" s="30"/>
      <c r="AL131" s="30"/>
      <c r="AM131" s="30"/>
      <c r="AN131" s="10"/>
      <c r="AO131" s="3"/>
      <c r="AQ131" s="30"/>
      <c r="AR131" s="30"/>
      <c r="AS131" s="30"/>
      <c r="AT131" s="30"/>
      <c r="AU131" s="30"/>
      <c r="AV131" s="30"/>
      <c r="AW131" s="30"/>
      <c r="AX131" s="10"/>
    </row>
    <row r="132" ht="14.25" customHeight="1">
      <c r="C132" s="30"/>
      <c r="D132" s="30"/>
      <c r="E132" s="30"/>
      <c r="F132" s="30"/>
      <c r="G132" s="30"/>
      <c r="H132" s="30"/>
      <c r="I132" s="30"/>
      <c r="J132" s="10"/>
      <c r="K132" s="3"/>
      <c r="M132" s="30"/>
      <c r="N132" s="30"/>
      <c r="O132" s="30"/>
      <c r="P132" s="30"/>
      <c r="Q132" s="30"/>
      <c r="R132" s="30"/>
      <c r="S132" s="30"/>
      <c r="T132" s="10"/>
      <c r="U132" s="3"/>
      <c r="W132" s="30"/>
      <c r="X132" s="30"/>
      <c r="Y132" s="30"/>
      <c r="Z132" s="30"/>
      <c r="AA132" s="30"/>
      <c r="AB132" s="30"/>
      <c r="AC132" s="30"/>
      <c r="AD132" s="10"/>
      <c r="AE132" s="3"/>
      <c r="AG132" s="30"/>
      <c r="AH132" s="30"/>
      <c r="AI132" s="30"/>
      <c r="AJ132" s="30"/>
      <c r="AK132" s="30"/>
      <c r="AL132" s="30"/>
      <c r="AM132" s="30"/>
      <c r="AN132" s="10"/>
      <c r="AO132" s="3"/>
      <c r="AQ132" s="30"/>
      <c r="AR132" s="30"/>
      <c r="AS132" s="30"/>
      <c r="AT132" s="30"/>
      <c r="AU132" s="30"/>
      <c r="AV132" s="30"/>
      <c r="AW132" s="30"/>
      <c r="AX132" s="10"/>
    </row>
    <row r="133" ht="14.25" customHeight="1">
      <c r="C133" s="30"/>
      <c r="D133" s="30"/>
      <c r="E133" s="30"/>
      <c r="F133" s="30"/>
      <c r="G133" s="30"/>
      <c r="H133" s="30"/>
      <c r="I133" s="30"/>
      <c r="J133" s="10"/>
      <c r="K133" s="3"/>
      <c r="M133" s="30"/>
      <c r="N133" s="30"/>
      <c r="O133" s="30"/>
      <c r="P133" s="30"/>
      <c r="Q133" s="30"/>
      <c r="R133" s="30"/>
      <c r="S133" s="30"/>
      <c r="T133" s="10"/>
      <c r="U133" s="3"/>
      <c r="W133" s="30"/>
      <c r="X133" s="30"/>
      <c r="Y133" s="30"/>
      <c r="Z133" s="30"/>
      <c r="AA133" s="30"/>
      <c r="AB133" s="30"/>
      <c r="AC133" s="30"/>
      <c r="AD133" s="10"/>
      <c r="AE133" s="3"/>
      <c r="AG133" s="30"/>
      <c r="AH133" s="30"/>
      <c r="AI133" s="30"/>
      <c r="AJ133" s="30"/>
      <c r="AK133" s="30"/>
      <c r="AL133" s="30"/>
      <c r="AM133" s="30"/>
      <c r="AN133" s="10"/>
      <c r="AO133" s="3"/>
      <c r="AQ133" s="30"/>
      <c r="AR133" s="30"/>
      <c r="AS133" s="30"/>
      <c r="AT133" s="30"/>
      <c r="AU133" s="30"/>
      <c r="AV133" s="30"/>
      <c r="AW133" s="30"/>
      <c r="AX133" s="10"/>
    </row>
    <row r="134" ht="14.25" customHeight="1">
      <c r="C134" s="30"/>
      <c r="D134" s="30"/>
      <c r="E134" s="30"/>
      <c r="F134" s="30"/>
      <c r="G134" s="30"/>
      <c r="H134" s="30"/>
      <c r="I134" s="30"/>
      <c r="J134" s="10"/>
      <c r="K134" s="3"/>
      <c r="M134" s="30"/>
      <c r="N134" s="30"/>
      <c r="O134" s="30"/>
      <c r="P134" s="30"/>
      <c r="Q134" s="30"/>
      <c r="R134" s="30"/>
      <c r="S134" s="30"/>
      <c r="T134" s="10"/>
      <c r="U134" s="3"/>
      <c r="W134" s="30"/>
      <c r="X134" s="30"/>
      <c r="Y134" s="30"/>
      <c r="Z134" s="30"/>
      <c r="AA134" s="30"/>
      <c r="AB134" s="30"/>
      <c r="AC134" s="30"/>
      <c r="AD134" s="10"/>
      <c r="AE134" s="3"/>
      <c r="AG134" s="30"/>
      <c r="AH134" s="30"/>
      <c r="AI134" s="30"/>
      <c r="AJ134" s="30"/>
      <c r="AK134" s="30"/>
      <c r="AL134" s="30"/>
      <c r="AM134" s="30"/>
      <c r="AN134" s="10"/>
      <c r="AO134" s="3"/>
      <c r="AQ134" s="30"/>
      <c r="AR134" s="30"/>
      <c r="AS134" s="30"/>
      <c r="AT134" s="30"/>
      <c r="AU134" s="30"/>
      <c r="AV134" s="30"/>
      <c r="AW134" s="30"/>
      <c r="AX134" s="10"/>
    </row>
    <row r="135" ht="14.25" customHeight="1">
      <c r="C135" s="30"/>
      <c r="D135" s="30"/>
      <c r="E135" s="30"/>
      <c r="F135" s="30"/>
      <c r="G135" s="30"/>
      <c r="H135" s="30"/>
      <c r="I135" s="30"/>
      <c r="J135" s="10"/>
      <c r="K135" s="3"/>
      <c r="M135" s="30"/>
      <c r="N135" s="30"/>
      <c r="O135" s="30"/>
      <c r="P135" s="30"/>
      <c r="Q135" s="30"/>
      <c r="R135" s="30"/>
      <c r="S135" s="30"/>
      <c r="T135" s="10"/>
      <c r="U135" s="3"/>
      <c r="W135" s="30"/>
      <c r="X135" s="30"/>
      <c r="Y135" s="30"/>
      <c r="Z135" s="30"/>
      <c r="AA135" s="30"/>
      <c r="AB135" s="30"/>
      <c r="AC135" s="30"/>
      <c r="AD135" s="10"/>
      <c r="AE135" s="3"/>
      <c r="AG135" s="30"/>
      <c r="AH135" s="30"/>
      <c r="AI135" s="30"/>
      <c r="AJ135" s="30"/>
      <c r="AK135" s="30"/>
      <c r="AL135" s="30"/>
      <c r="AM135" s="30"/>
      <c r="AN135" s="10"/>
      <c r="AO135" s="3"/>
      <c r="AQ135" s="30"/>
      <c r="AR135" s="30"/>
      <c r="AS135" s="30"/>
      <c r="AT135" s="30"/>
      <c r="AU135" s="30"/>
      <c r="AV135" s="30"/>
      <c r="AW135" s="30"/>
      <c r="AX135" s="10"/>
    </row>
    <row r="136" ht="14.25" customHeight="1">
      <c r="C136" s="30"/>
      <c r="D136" s="30"/>
      <c r="E136" s="30"/>
      <c r="F136" s="30"/>
      <c r="G136" s="30"/>
      <c r="H136" s="30"/>
      <c r="I136" s="30"/>
      <c r="J136" s="10"/>
      <c r="K136" s="3"/>
      <c r="M136" s="30"/>
      <c r="N136" s="30"/>
      <c r="O136" s="30"/>
      <c r="P136" s="30"/>
      <c r="Q136" s="30"/>
      <c r="R136" s="30"/>
      <c r="S136" s="30"/>
      <c r="T136" s="10"/>
      <c r="U136" s="3"/>
      <c r="W136" s="30"/>
      <c r="X136" s="30"/>
      <c r="Y136" s="30"/>
      <c r="Z136" s="30"/>
      <c r="AA136" s="30"/>
      <c r="AB136" s="30"/>
      <c r="AC136" s="30"/>
      <c r="AD136" s="10"/>
      <c r="AE136" s="3"/>
      <c r="AG136" s="30"/>
      <c r="AH136" s="30"/>
      <c r="AI136" s="30"/>
      <c r="AJ136" s="30"/>
      <c r="AK136" s="30"/>
      <c r="AL136" s="30"/>
      <c r="AM136" s="30"/>
      <c r="AN136" s="10"/>
      <c r="AO136" s="3"/>
      <c r="AQ136" s="30"/>
      <c r="AR136" s="30"/>
      <c r="AS136" s="30"/>
      <c r="AT136" s="30"/>
      <c r="AU136" s="30"/>
      <c r="AV136" s="30"/>
      <c r="AW136" s="30"/>
      <c r="AX136" s="10"/>
    </row>
    <row r="137" ht="14.25" customHeight="1">
      <c r="C137" s="30"/>
      <c r="D137" s="30"/>
      <c r="E137" s="30"/>
      <c r="F137" s="30"/>
      <c r="G137" s="30"/>
      <c r="H137" s="30"/>
      <c r="I137" s="30"/>
      <c r="J137" s="10"/>
      <c r="K137" s="3"/>
      <c r="M137" s="30"/>
      <c r="N137" s="30"/>
      <c r="O137" s="30"/>
      <c r="P137" s="30"/>
      <c r="Q137" s="30"/>
      <c r="R137" s="30"/>
      <c r="S137" s="30"/>
      <c r="T137" s="10"/>
      <c r="U137" s="3"/>
      <c r="W137" s="30"/>
      <c r="X137" s="30"/>
      <c r="Y137" s="30"/>
      <c r="Z137" s="30"/>
      <c r="AA137" s="30"/>
      <c r="AB137" s="30"/>
      <c r="AC137" s="30"/>
      <c r="AD137" s="10"/>
      <c r="AE137" s="3"/>
      <c r="AG137" s="30"/>
      <c r="AH137" s="30"/>
      <c r="AI137" s="30"/>
      <c r="AJ137" s="30"/>
      <c r="AK137" s="30"/>
      <c r="AL137" s="30"/>
      <c r="AM137" s="30"/>
      <c r="AN137" s="10"/>
      <c r="AO137" s="3"/>
      <c r="AQ137" s="30"/>
      <c r="AR137" s="30"/>
      <c r="AS137" s="30"/>
      <c r="AT137" s="30"/>
      <c r="AU137" s="30"/>
      <c r="AV137" s="30"/>
      <c r="AW137" s="30"/>
      <c r="AX137" s="10"/>
    </row>
    <row r="138" ht="14.25" customHeight="1">
      <c r="C138" s="30"/>
      <c r="D138" s="30"/>
      <c r="E138" s="30"/>
      <c r="F138" s="30"/>
      <c r="G138" s="30"/>
      <c r="H138" s="30"/>
      <c r="I138" s="30"/>
      <c r="J138" s="10"/>
      <c r="K138" s="3"/>
      <c r="M138" s="30"/>
      <c r="N138" s="30"/>
      <c r="O138" s="30"/>
      <c r="P138" s="30"/>
      <c r="Q138" s="30"/>
      <c r="R138" s="30"/>
      <c r="S138" s="30"/>
      <c r="T138" s="10"/>
      <c r="U138" s="3"/>
      <c r="W138" s="30"/>
      <c r="X138" s="30"/>
      <c r="Y138" s="30"/>
      <c r="Z138" s="30"/>
      <c r="AA138" s="30"/>
      <c r="AB138" s="30"/>
      <c r="AC138" s="30"/>
      <c r="AD138" s="10"/>
      <c r="AE138" s="3"/>
      <c r="AG138" s="30"/>
      <c r="AH138" s="30"/>
      <c r="AI138" s="30"/>
      <c r="AJ138" s="30"/>
      <c r="AK138" s="30"/>
      <c r="AL138" s="30"/>
      <c r="AM138" s="30"/>
      <c r="AN138" s="10"/>
      <c r="AO138" s="3"/>
      <c r="AQ138" s="30"/>
      <c r="AR138" s="30"/>
      <c r="AS138" s="30"/>
      <c r="AT138" s="30"/>
      <c r="AU138" s="30"/>
      <c r="AV138" s="30"/>
      <c r="AW138" s="30"/>
      <c r="AX138" s="10"/>
    </row>
    <row r="139" ht="14.25" customHeight="1">
      <c r="A139" s="3"/>
      <c r="B139" s="3"/>
      <c r="C139" s="54"/>
      <c r="D139" s="54"/>
      <c r="E139" s="54"/>
      <c r="F139" s="54"/>
      <c r="G139" s="54"/>
      <c r="H139" s="54"/>
      <c r="I139" s="54"/>
      <c r="J139" s="55"/>
      <c r="K139" s="3"/>
      <c r="L139" s="3"/>
      <c r="M139" s="54"/>
      <c r="N139" s="54"/>
      <c r="O139" s="54"/>
      <c r="P139" s="54"/>
      <c r="Q139" s="54"/>
      <c r="R139" s="54"/>
      <c r="S139" s="54"/>
      <c r="T139" s="55"/>
      <c r="U139" s="3"/>
      <c r="V139" s="3"/>
      <c r="W139" s="54"/>
      <c r="X139" s="54"/>
      <c r="Y139" s="54"/>
      <c r="Z139" s="54"/>
      <c r="AA139" s="54"/>
      <c r="AB139" s="54"/>
      <c r="AC139" s="54"/>
      <c r="AD139" s="55"/>
      <c r="AE139" s="3"/>
      <c r="AF139" s="3"/>
      <c r="AG139" s="54"/>
      <c r="AH139" s="54"/>
      <c r="AI139" s="54"/>
      <c r="AJ139" s="54"/>
      <c r="AK139" s="54"/>
      <c r="AL139" s="54"/>
      <c r="AM139" s="54"/>
      <c r="AN139" s="55"/>
      <c r="AO139" s="3"/>
      <c r="AP139" s="3"/>
      <c r="AQ139" s="54"/>
      <c r="AR139" s="54"/>
      <c r="AS139" s="54"/>
      <c r="AT139" s="54"/>
      <c r="AU139" s="54"/>
      <c r="AV139" s="54"/>
      <c r="AW139" s="54"/>
      <c r="AX139" s="55"/>
    </row>
    <row r="140" ht="14.25" customHeight="1">
      <c r="C140" s="30"/>
      <c r="D140" s="30"/>
      <c r="E140" s="30"/>
      <c r="F140" s="30"/>
      <c r="G140" s="30"/>
      <c r="H140" s="30"/>
      <c r="I140" s="9"/>
      <c r="K140" s="3"/>
      <c r="U140" s="3"/>
      <c r="AE140" s="3"/>
      <c r="AO140" s="3"/>
    </row>
    <row r="141" ht="14.25" customHeight="1">
      <c r="B141" s="1" t="s">
        <v>88</v>
      </c>
      <c r="C141" s="4">
        <v>2019.0</v>
      </c>
      <c r="D141" s="4">
        <f t="shared" ref="D141:G141" si="261">+C141+1</f>
        <v>2020</v>
      </c>
      <c r="E141" s="4">
        <f t="shared" si="261"/>
        <v>2021</v>
      </c>
      <c r="F141" s="4">
        <f t="shared" si="261"/>
        <v>2022</v>
      </c>
      <c r="G141" s="4">
        <f t="shared" si="261"/>
        <v>2023</v>
      </c>
      <c r="H141" s="4"/>
      <c r="I141" s="9"/>
      <c r="K141" s="3"/>
      <c r="U141" s="3"/>
      <c r="AE141" s="3"/>
      <c r="AO141" s="3"/>
    </row>
    <row r="142" ht="14.25" customHeight="1">
      <c r="B142" s="8" t="s">
        <v>9</v>
      </c>
      <c r="C142" s="10">
        <v>8.0</v>
      </c>
      <c r="D142" s="10">
        <v>10.0</v>
      </c>
      <c r="E142" s="10">
        <v>8.0</v>
      </c>
      <c r="F142" s="10">
        <v>8.0</v>
      </c>
      <c r="G142" s="10">
        <f t="shared" ref="G142:G161" si="262">+J117</f>
        <v>9</v>
      </c>
      <c r="H142" s="4"/>
      <c r="I142" s="9"/>
      <c r="K142" s="3"/>
      <c r="U142" s="3"/>
      <c r="AE142" s="3"/>
      <c r="AO142" s="3"/>
    </row>
    <row r="143" ht="14.25" customHeight="1">
      <c r="B143" s="8" t="s">
        <v>10</v>
      </c>
      <c r="C143" s="10">
        <v>3.0</v>
      </c>
      <c r="D143" s="10">
        <v>4.0</v>
      </c>
      <c r="E143" s="10">
        <v>3.0</v>
      </c>
      <c r="F143" s="10">
        <v>2.0</v>
      </c>
      <c r="G143" s="10">
        <f t="shared" si="262"/>
        <v>2</v>
      </c>
      <c r="H143" s="4"/>
      <c r="I143" s="9"/>
      <c r="K143" s="3"/>
      <c r="U143" s="3"/>
      <c r="AE143" s="3"/>
      <c r="AO143" s="3"/>
    </row>
    <row r="144" ht="14.25" customHeight="1">
      <c r="B144" s="8" t="s">
        <v>13</v>
      </c>
      <c r="C144" s="10">
        <v>2.0</v>
      </c>
      <c r="D144" s="10">
        <v>2.0</v>
      </c>
      <c r="E144" s="10">
        <v>2.0</v>
      </c>
      <c r="F144" s="10">
        <v>3.0</v>
      </c>
      <c r="G144" s="10">
        <f t="shared" si="262"/>
        <v>3</v>
      </c>
      <c r="H144" s="4"/>
      <c r="I144" s="9"/>
      <c r="K144" s="3"/>
      <c r="U144" s="3"/>
      <c r="AE144" s="3"/>
      <c r="AO144" s="3"/>
    </row>
    <row r="145" ht="14.25" customHeight="1">
      <c r="B145" s="8" t="s">
        <v>14</v>
      </c>
      <c r="C145" s="10">
        <v>10.0</v>
      </c>
      <c r="D145" s="10">
        <v>9.0</v>
      </c>
      <c r="E145" s="10">
        <v>10.0</v>
      </c>
      <c r="F145" s="10">
        <v>10.0</v>
      </c>
      <c r="G145" s="10">
        <f t="shared" si="262"/>
        <v>10</v>
      </c>
      <c r="H145" s="4"/>
      <c r="I145" s="9"/>
      <c r="K145" s="3"/>
      <c r="U145" s="3"/>
      <c r="AE145" s="3"/>
      <c r="AO145" s="3"/>
    </row>
    <row r="146" ht="14.25" customHeight="1">
      <c r="B146" s="8" t="s">
        <v>16</v>
      </c>
      <c r="C146" s="10">
        <v>1.0</v>
      </c>
      <c r="D146" s="10">
        <v>1.0</v>
      </c>
      <c r="E146" s="10">
        <v>1.0</v>
      </c>
      <c r="F146" s="10">
        <v>1.0</v>
      </c>
      <c r="G146" s="10">
        <f t="shared" si="262"/>
        <v>1</v>
      </c>
      <c r="H146" s="4"/>
      <c r="I146" s="9"/>
      <c r="K146" s="3"/>
      <c r="U146" s="3"/>
      <c r="AE146" s="3"/>
      <c r="AO146" s="3"/>
    </row>
    <row r="147" ht="14.25" customHeight="1">
      <c r="B147" s="8" t="s">
        <v>17</v>
      </c>
      <c r="C147" s="10">
        <v>5.0</v>
      </c>
      <c r="D147" s="10">
        <v>5.0</v>
      </c>
      <c r="E147" s="10">
        <v>4.0</v>
      </c>
      <c r="F147" s="10">
        <v>5.0</v>
      </c>
      <c r="G147" s="10">
        <f t="shared" si="262"/>
        <v>4</v>
      </c>
      <c r="H147" s="4"/>
      <c r="I147" s="9"/>
      <c r="K147" s="3"/>
      <c r="U147" s="3"/>
      <c r="AE147" s="3"/>
      <c r="AO147" s="3"/>
    </row>
    <row r="148" ht="14.25" customHeight="1">
      <c r="B148" s="8" t="s">
        <v>18</v>
      </c>
      <c r="C148" s="10">
        <v>4.0</v>
      </c>
      <c r="D148" s="10">
        <v>3.0</v>
      </c>
      <c r="E148" s="10">
        <v>5.0</v>
      </c>
      <c r="F148" s="10">
        <v>4.0</v>
      </c>
      <c r="G148" s="10">
        <f t="shared" si="262"/>
        <v>5</v>
      </c>
      <c r="H148" s="4"/>
      <c r="I148" s="9"/>
      <c r="K148" s="3"/>
      <c r="U148" s="3"/>
      <c r="AE148" s="3"/>
      <c r="AO148" s="3"/>
    </row>
    <row r="149" ht="14.25" customHeight="1">
      <c r="B149" s="8" t="s">
        <v>19</v>
      </c>
      <c r="C149" s="10">
        <v>7.0</v>
      </c>
      <c r="D149" s="10">
        <v>7.0</v>
      </c>
      <c r="E149" s="10">
        <v>7.0</v>
      </c>
      <c r="F149" s="10">
        <v>7.0</v>
      </c>
      <c r="G149" s="10">
        <f t="shared" si="262"/>
        <v>6</v>
      </c>
      <c r="H149" s="4"/>
      <c r="I149" s="9"/>
      <c r="K149" s="3"/>
      <c r="U149" s="3"/>
      <c r="AE149" s="3"/>
      <c r="AO149" s="3"/>
    </row>
    <row r="150" ht="14.25" customHeight="1">
      <c r="B150" s="8" t="s">
        <v>20</v>
      </c>
      <c r="C150" s="10">
        <v>6.0</v>
      </c>
      <c r="D150" s="10">
        <v>6.0</v>
      </c>
      <c r="E150" s="10">
        <v>9.0</v>
      </c>
      <c r="F150" s="10">
        <v>6.0</v>
      </c>
      <c r="G150" s="10">
        <f t="shared" si="262"/>
        <v>7</v>
      </c>
      <c r="H150" s="4"/>
      <c r="I150" s="9"/>
      <c r="K150" s="3"/>
      <c r="U150" s="3"/>
      <c r="AE150" s="3"/>
      <c r="AO150" s="3"/>
    </row>
    <row r="151" ht="14.25" customHeight="1">
      <c r="B151" s="8" t="s">
        <v>21</v>
      </c>
      <c r="C151" s="10">
        <v>9.0</v>
      </c>
      <c r="D151" s="10">
        <v>8.0</v>
      </c>
      <c r="E151" s="10">
        <v>6.0</v>
      </c>
      <c r="F151" s="10">
        <v>9.0</v>
      </c>
      <c r="G151" s="10">
        <f t="shared" si="262"/>
        <v>8</v>
      </c>
      <c r="H151" s="4"/>
      <c r="I151" s="9"/>
      <c r="K151" s="3"/>
      <c r="U151" s="3"/>
      <c r="AE151" s="3"/>
      <c r="AO151" s="3"/>
    </row>
    <row r="152" ht="14.25" customHeight="1">
      <c r="C152" s="4"/>
      <c r="D152" s="4"/>
      <c r="E152" s="4"/>
      <c r="F152" s="10"/>
      <c r="G152" s="10" t="str">
        <f t="shared" si="262"/>
        <v/>
      </c>
      <c r="H152" s="4"/>
      <c r="I152" s="9"/>
      <c r="K152" s="3"/>
      <c r="U152" s="3"/>
      <c r="AE152" s="3"/>
      <c r="AO152" s="3"/>
    </row>
    <row r="153" ht="14.25" customHeight="1">
      <c r="C153" s="4"/>
      <c r="D153" s="4"/>
      <c r="E153" s="4"/>
      <c r="F153" s="10"/>
      <c r="G153" s="10" t="str">
        <f t="shared" si="262"/>
        <v/>
      </c>
      <c r="H153" s="4"/>
      <c r="I153" s="9"/>
      <c r="K153" s="3"/>
      <c r="U153" s="3"/>
      <c r="AE153" s="3"/>
      <c r="AO153" s="3"/>
    </row>
    <row r="154" ht="14.25" customHeight="1">
      <c r="C154" s="4"/>
      <c r="D154" s="4"/>
      <c r="E154" s="4"/>
      <c r="F154" s="10"/>
      <c r="G154" s="10" t="str">
        <f t="shared" si="262"/>
        <v/>
      </c>
      <c r="H154" s="4"/>
      <c r="I154" s="9"/>
      <c r="K154" s="3"/>
      <c r="U154" s="3"/>
      <c r="AE154" s="3"/>
      <c r="AO154" s="3"/>
    </row>
    <row r="155" ht="14.25" customHeight="1">
      <c r="C155" s="4"/>
      <c r="D155" s="4"/>
      <c r="E155" s="4"/>
      <c r="F155" s="10"/>
      <c r="G155" s="10" t="str">
        <f t="shared" si="262"/>
        <v/>
      </c>
      <c r="H155" s="4"/>
      <c r="I155" s="9"/>
      <c r="K155" s="3"/>
      <c r="U155" s="3"/>
      <c r="AE155" s="3"/>
      <c r="AO155" s="3"/>
    </row>
    <row r="156" ht="14.25" customHeight="1">
      <c r="C156" s="4"/>
      <c r="D156" s="4"/>
      <c r="E156" s="4"/>
      <c r="F156" s="10"/>
      <c r="G156" s="10" t="str">
        <f t="shared" si="262"/>
        <v/>
      </c>
      <c r="H156" s="4"/>
      <c r="I156" s="9"/>
      <c r="K156" s="3"/>
      <c r="U156" s="3"/>
      <c r="AE156" s="3"/>
      <c r="AO156" s="3"/>
    </row>
    <row r="157" ht="14.25" customHeight="1">
      <c r="C157" s="4"/>
      <c r="D157" s="4"/>
      <c r="E157" s="4"/>
      <c r="F157" s="10"/>
      <c r="G157" s="10" t="str">
        <f t="shared" si="262"/>
        <v/>
      </c>
      <c r="H157" s="4"/>
      <c r="I157" s="9"/>
      <c r="K157" s="3"/>
      <c r="U157" s="3"/>
      <c r="AE157" s="3"/>
      <c r="AO157" s="3"/>
    </row>
    <row r="158" ht="14.25" customHeight="1">
      <c r="C158" s="4"/>
      <c r="D158" s="4"/>
      <c r="E158" s="4"/>
      <c r="F158" s="10"/>
      <c r="G158" s="10" t="str">
        <f t="shared" si="262"/>
        <v/>
      </c>
      <c r="H158" s="4"/>
      <c r="I158" s="9"/>
      <c r="K158" s="3"/>
      <c r="U158" s="3"/>
      <c r="AE158" s="3"/>
      <c r="AO158" s="3"/>
    </row>
    <row r="159" ht="14.25" customHeight="1">
      <c r="C159" s="4"/>
      <c r="D159" s="4"/>
      <c r="E159" s="4"/>
      <c r="F159" s="10"/>
      <c r="G159" s="10" t="str">
        <f t="shared" si="262"/>
        <v/>
      </c>
      <c r="H159" s="4"/>
      <c r="I159" s="9"/>
      <c r="K159" s="3"/>
      <c r="U159" s="3"/>
      <c r="AE159" s="3"/>
      <c r="AO159" s="3"/>
    </row>
    <row r="160" ht="14.25" customHeight="1">
      <c r="C160" s="4"/>
      <c r="D160" s="4"/>
      <c r="E160" s="4"/>
      <c r="F160" s="10"/>
      <c r="G160" s="10" t="str">
        <f t="shared" si="262"/>
        <v/>
      </c>
      <c r="H160" s="4"/>
      <c r="I160" s="9"/>
      <c r="K160" s="3"/>
      <c r="U160" s="3"/>
      <c r="AE160" s="3"/>
      <c r="AO160" s="3"/>
    </row>
    <row r="161" ht="14.25" customHeight="1">
      <c r="C161" s="4"/>
      <c r="D161" s="4"/>
      <c r="E161" s="4"/>
      <c r="F161" s="10"/>
      <c r="G161" s="10" t="str">
        <f t="shared" si="262"/>
        <v/>
      </c>
      <c r="H161" s="4"/>
      <c r="I161" s="9"/>
      <c r="K161" s="3"/>
      <c r="U161" s="3"/>
      <c r="AE161" s="3"/>
      <c r="AO161" s="3"/>
    </row>
    <row r="162" ht="14.25" customHeight="1">
      <c r="C162" s="9"/>
      <c r="D162" s="9"/>
      <c r="E162" s="9"/>
      <c r="F162" s="9"/>
      <c r="G162" s="9"/>
      <c r="H162" s="16"/>
      <c r="I162" s="9"/>
      <c r="K162" s="3"/>
      <c r="U162" s="3"/>
      <c r="AE162" s="3"/>
      <c r="AO162" s="3"/>
    </row>
    <row r="163" ht="14.25" customHeight="1">
      <c r="C163" s="9"/>
      <c r="D163" s="9"/>
      <c r="E163" s="9"/>
      <c r="F163" s="9"/>
      <c r="G163" s="9"/>
      <c r="H163" s="16"/>
      <c r="I163" s="9"/>
      <c r="K163" s="3"/>
      <c r="U163" s="3"/>
      <c r="AE163" s="3"/>
      <c r="AO163" s="3"/>
    </row>
    <row r="164" ht="14.25" customHeight="1">
      <c r="C164" s="9"/>
      <c r="D164" s="9"/>
      <c r="E164" s="9"/>
      <c r="F164" s="9"/>
      <c r="G164" s="9"/>
      <c r="H164" s="16"/>
      <c r="I164" s="9"/>
      <c r="K164" s="3"/>
      <c r="U164" s="3"/>
      <c r="AE164" s="3"/>
      <c r="AO164" s="3"/>
    </row>
    <row r="165" ht="14.25" customHeight="1">
      <c r="C165" s="9"/>
      <c r="D165" s="9"/>
      <c r="E165" s="9"/>
      <c r="F165" s="9"/>
      <c r="G165" s="9"/>
      <c r="H165" s="16"/>
      <c r="I165" s="9"/>
      <c r="K165" s="3"/>
      <c r="U165" s="3"/>
      <c r="AE165" s="3"/>
      <c r="AO165" s="3"/>
    </row>
    <row r="166" ht="14.25" customHeight="1">
      <c r="C166" s="9"/>
      <c r="D166" s="9"/>
      <c r="E166" s="9"/>
      <c r="F166" s="9"/>
      <c r="G166" s="9"/>
      <c r="H166" s="16"/>
      <c r="I166" s="9"/>
      <c r="K166" s="3"/>
      <c r="U166" s="3"/>
      <c r="AE166" s="3"/>
      <c r="AO166" s="3"/>
    </row>
    <row r="167" ht="14.25" customHeight="1">
      <c r="C167" s="9"/>
      <c r="D167" s="9"/>
      <c r="E167" s="9"/>
      <c r="F167" s="9"/>
      <c r="G167" s="9"/>
      <c r="H167" s="16"/>
      <c r="I167" s="9"/>
      <c r="K167" s="3"/>
      <c r="U167" s="3"/>
      <c r="AE167" s="3"/>
      <c r="AO167" s="3"/>
    </row>
    <row r="168" ht="14.25" customHeight="1">
      <c r="C168" s="9"/>
      <c r="D168" s="9"/>
      <c r="E168" s="9"/>
      <c r="F168" s="9"/>
      <c r="G168" s="9"/>
      <c r="H168" s="16"/>
      <c r="I168" s="9"/>
      <c r="K168" s="3"/>
      <c r="U168" s="3"/>
      <c r="AE168" s="3"/>
      <c r="AO168" s="3"/>
    </row>
    <row r="169" ht="14.25" customHeight="1">
      <c r="C169" s="9"/>
      <c r="D169" s="9"/>
      <c r="E169" s="9"/>
      <c r="F169" s="9"/>
      <c r="G169" s="9"/>
      <c r="H169" s="16"/>
      <c r="I169" s="9"/>
      <c r="K169" s="3"/>
      <c r="U169" s="3"/>
      <c r="AE169" s="3"/>
      <c r="AO169" s="3"/>
    </row>
    <row r="170" ht="14.25" customHeight="1">
      <c r="C170" s="9"/>
      <c r="D170" s="9"/>
      <c r="E170" s="9"/>
      <c r="F170" s="9"/>
      <c r="G170" s="9"/>
      <c r="H170" s="16"/>
      <c r="I170" s="9"/>
      <c r="K170" s="3"/>
      <c r="U170" s="3"/>
      <c r="AE170" s="3"/>
      <c r="AO170" s="3"/>
    </row>
    <row r="171" ht="14.25" customHeight="1">
      <c r="C171" s="9"/>
      <c r="D171" s="9"/>
      <c r="E171" s="9"/>
      <c r="F171" s="9"/>
      <c r="G171" s="9"/>
      <c r="H171" s="16"/>
      <c r="I171" s="9"/>
      <c r="K171" s="3"/>
      <c r="U171" s="3"/>
      <c r="AE171" s="3"/>
      <c r="AO171" s="3"/>
    </row>
    <row r="172" ht="14.25" customHeight="1">
      <c r="C172" s="9"/>
      <c r="D172" s="9"/>
      <c r="E172" s="9"/>
      <c r="F172" s="9"/>
      <c r="G172" s="9"/>
      <c r="H172" s="16"/>
      <c r="I172" s="9"/>
      <c r="K172" s="3"/>
      <c r="U172" s="3"/>
      <c r="AE172" s="3"/>
      <c r="AO172" s="3"/>
    </row>
    <row r="173" ht="14.25" customHeight="1">
      <c r="C173" s="9"/>
      <c r="D173" s="9"/>
      <c r="E173" s="9"/>
      <c r="F173" s="9"/>
      <c r="G173" s="9"/>
      <c r="H173" s="16"/>
      <c r="I173" s="9"/>
      <c r="K173" s="3"/>
      <c r="U173" s="3"/>
      <c r="AE173" s="3"/>
      <c r="AO173" s="3"/>
    </row>
    <row r="174" ht="14.25" customHeight="1">
      <c r="C174" s="9"/>
      <c r="D174" s="9"/>
      <c r="E174" s="9"/>
      <c r="F174" s="9"/>
      <c r="G174" s="9"/>
      <c r="H174" s="16"/>
      <c r="I174" s="9"/>
      <c r="K174" s="3"/>
      <c r="U174" s="3"/>
      <c r="AE174" s="3"/>
      <c r="AO174" s="3"/>
    </row>
    <row r="175" ht="14.25" customHeight="1">
      <c r="C175" s="9"/>
      <c r="D175" s="9"/>
      <c r="E175" s="9"/>
      <c r="F175" s="9"/>
      <c r="G175" s="9"/>
      <c r="H175" s="16"/>
      <c r="I175" s="9"/>
      <c r="K175" s="3"/>
      <c r="U175" s="3"/>
      <c r="AE175" s="3"/>
      <c r="AO175" s="3"/>
    </row>
    <row r="176" ht="14.25" customHeight="1">
      <c r="C176" s="9"/>
      <c r="D176" s="9"/>
      <c r="E176" s="9"/>
      <c r="F176" s="9"/>
      <c r="G176" s="9"/>
      <c r="H176" s="16"/>
      <c r="I176" s="9"/>
      <c r="K176" s="3"/>
      <c r="U176" s="3"/>
      <c r="AE176" s="3"/>
      <c r="AO176" s="3"/>
    </row>
    <row r="177" ht="14.25" customHeight="1">
      <c r="C177" s="9"/>
      <c r="D177" s="9"/>
      <c r="E177" s="9"/>
      <c r="F177" s="9"/>
      <c r="G177" s="9"/>
      <c r="H177" s="16"/>
      <c r="I177" s="9"/>
      <c r="K177" s="3"/>
      <c r="U177" s="3"/>
      <c r="AE177" s="3"/>
      <c r="AO177" s="3"/>
    </row>
    <row r="178" ht="14.25" customHeight="1">
      <c r="C178" s="9"/>
      <c r="D178" s="9"/>
      <c r="E178" s="9"/>
      <c r="F178" s="9"/>
      <c r="G178" s="9"/>
      <c r="H178" s="16"/>
      <c r="I178" s="9"/>
      <c r="K178" s="3"/>
      <c r="U178" s="3"/>
      <c r="AE178" s="3"/>
      <c r="AO178" s="3"/>
    </row>
    <row r="179" ht="14.25" customHeight="1">
      <c r="C179" s="9"/>
      <c r="D179" s="9"/>
      <c r="E179" s="9"/>
      <c r="F179" s="9"/>
      <c r="G179" s="9"/>
      <c r="H179" s="16"/>
      <c r="I179" s="9"/>
      <c r="K179" s="3"/>
      <c r="U179" s="3"/>
      <c r="AE179" s="3"/>
      <c r="AO179" s="3"/>
    </row>
    <row r="180" ht="14.25" customHeight="1">
      <c r="C180" s="9"/>
      <c r="D180" s="9"/>
      <c r="E180" s="9"/>
      <c r="F180" s="9"/>
      <c r="G180" s="9"/>
      <c r="H180" s="16"/>
      <c r="I180" s="9"/>
      <c r="K180" s="3"/>
      <c r="U180" s="3"/>
      <c r="AE180" s="3"/>
      <c r="AO180" s="3"/>
    </row>
    <row r="181" ht="14.25" customHeight="1">
      <c r="C181" s="9"/>
      <c r="D181" s="9"/>
      <c r="E181" s="9"/>
      <c r="F181" s="9"/>
      <c r="G181" s="9"/>
      <c r="H181" s="16"/>
      <c r="I181" s="9"/>
      <c r="K181" s="3"/>
      <c r="U181" s="3"/>
      <c r="AE181" s="3"/>
      <c r="AO181" s="3"/>
    </row>
    <row r="182" ht="14.25" customHeight="1">
      <c r="C182" s="9"/>
      <c r="D182" s="9"/>
      <c r="E182" s="9"/>
      <c r="F182" s="9"/>
      <c r="G182" s="9"/>
      <c r="H182" s="16"/>
      <c r="I182" s="9"/>
      <c r="K182" s="3"/>
      <c r="U182" s="3"/>
      <c r="AE182" s="3"/>
      <c r="AO182" s="3"/>
    </row>
    <row r="183" ht="14.25" customHeight="1">
      <c r="C183" s="9"/>
      <c r="D183" s="9"/>
      <c r="E183" s="9"/>
      <c r="F183" s="9"/>
      <c r="G183" s="9"/>
      <c r="H183" s="16"/>
      <c r="I183" s="9"/>
      <c r="K183" s="3"/>
      <c r="U183" s="3"/>
      <c r="AE183" s="3"/>
      <c r="AO183" s="3"/>
    </row>
    <row r="184" ht="14.25" customHeight="1">
      <c r="C184" s="9"/>
      <c r="D184" s="9"/>
      <c r="E184" s="9"/>
      <c r="F184" s="9"/>
      <c r="G184" s="9"/>
      <c r="H184" s="16"/>
      <c r="I184" s="9"/>
      <c r="K184" s="3"/>
      <c r="U184" s="3"/>
      <c r="AE184" s="3"/>
      <c r="AO184" s="3"/>
    </row>
    <row r="185" ht="14.25" customHeight="1">
      <c r="C185" s="9"/>
      <c r="D185" s="9"/>
      <c r="E185" s="9"/>
      <c r="F185" s="9"/>
      <c r="G185" s="9"/>
      <c r="H185" s="16"/>
      <c r="I185" s="9"/>
      <c r="K185" s="3"/>
      <c r="U185" s="3"/>
      <c r="AE185" s="3"/>
      <c r="AO185" s="3"/>
    </row>
    <row r="186" ht="14.25" customHeight="1">
      <c r="C186" s="9"/>
      <c r="D186" s="9"/>
      <c r="E186" s="9"/>
      <c r="F186" s="9"/>
      <c r="G186" s="9"/>
      <c r="H186" s="16"/>
      <c r="I186" s="9"/>
      <c r="K186" s="3"/>
      <c r="U186" s="3"/>
      <c r="AE186" s="3"/>
      <c r="AO186" s="3"/>
    </row>
    <row r="187" ht="14.25" customHeight="1">
      <c r="C187" s="9"/>
      <c r="D187" s="9"/>
      <c r="E187" s="9"/>
      <c r="F187" s="9"/>
      <c r="G187" s="9"/>
      <c r="H187" s="16"/>
      <c r="I187" s="9"/>
      <c r="K187" s="3"/>
      <c r="U187" s="3"/>
      <c r="AE187" s="3"/>
      <c r="AO187" s="3"/>
    </row>
    <row r="188" ht="14.25" customHeight="1">
      <c r="C188" s="9"/>
      <c r="D188" s="9"/>
      <c r="E188" s="9"/>
      <c r="F188" s="9"/>
      <c r="G188" s="9"/>
      <c r="H188" s="16"/>
      <c r="I188" s="9"/>
      <c r="K188" s="3"/>
      <c r="U188" s="3"/>
      <c r="AE188" s="3"/>
      <c r="AO188" s="3"/>
    </row>
    <row r="189" ht="14.25" customHeight="1">
      <c r="C189" s="9"/>
      <c r="D189" s="9"/>
      <c r="E189" s="9"/>
      <c r="F189" s="9"/>
      <c r="G189" s="9"/>
      <c r="H189" s="16"/>
      <c r="I189" s="9"/>
      <c r="K189" s="3"/>
      <c r="U189" s="3"/>
      <c r="AE189" s="3"/>
      <c r="AO189" s="3"/>
    </row>
    <row r="190" ht="14.25" customHeight="1">
      <c r="C190" s="9"/>
      <c r="D190" s="9"/>
      <c r="E190" s="9"/>
      <c r="F190" s="9"/>
      <c r="G190" s="9"/>
      <c r="H190" s="16"/>
      <c r="I190" s="9"/>
      <c r="K190" s="3"/>
      <c r="U190" s="3"/>
      <c r="AE190" s="3"/>
      <c r="AO190" s="3"/>
    </row>
    <row r="191" ht="14.25" customHeight="1">
      <c r="C191" s="9"/>
      <c r="D191" s="9"/>
      <c r="E191" s="9"/>
      <c r="F191" s="9"/>
      <c r="G191" s="9"/>
      <c r="H191" s="16"/>
      <c r="I191" s="9"/>
      <c r="K191" s="3"/>
      <c r="U191" s="3"/>
      <c r="AE191" s="3"/>
      <c r="AO191" s="3"/>
    </row>
    <row r="192" ht="14.25" customHeight="1">
      <c r="C192" s="9"/>
      <c r="D192" s="9"/>
      <c r="E192" s="9"/>
      <c r="F192" s="9"/>
      <c r="G192" s="9"/>
      <c r="H192" s="16"/>
      <c r="I192" s="9"/>
      <c r="K192" s="3"/>
      <c r="U192" s="3"/>
      <c r="AE192" s="3"/>
      <c r="AO192" s="3"/>
    </row>
    <row r="193" ht="14.25" customHeight="1">
      <c r="C193" s="9"/>
      <c r="D193" s="9"/>
      <c r="E193" s="9"/>
      <c r="F193" s="9"/>
      <c r="G193" s="9"/>
      <c r="H193" s="16"/>
      <c r="I193" s="9"/>
      <c r="K193" s="3"/>
      <c r="U193" s="3"/>
      <c r="AE193" s="3"/>
      <c r="AO193" s="3"/>
    </row>
    <row r="194" ht="14.25" customHeight="1">
      <c r="C194" s="9"/>
      <c r="D194" s="9"/>
      <c r="E194" s="9"/>
      <c r="F194" s="9"/>
      <c r="G194" s="9"/>
      <c r="H194" s="16"/>
      <c r="I194" s="9"/>
      <c r="K194" s="3"/>
      <c r="U194" s="3"/>
      <c r="AE194" s="3"/>
      <c r="AO194" s="3"/>
    </row>
    <row r="195" ht="14.25" customHeight="1">
      <c r="C195" s="9"/>
      <c r="D195" s="9"/>
      <c r="E195" s="9"/>
      <c r="F195" s="9"/>
      <c r="G195" s="9"/>
      <c r="H195" s="16"/>
      <c r="I195" s="9"/>
      <c r="K195" s="3"/>
      <c r="U195" s="3"/>
      <c r="AE195" s="3"/>
      <c r="AO195" s="3"/>
    </row>
    <row r="196" ht="14.25" customHeight="1">
      <c r="C196" s="9"/>
      <c r="D196" s="9"/>
      <c r="E196" s="9"/>
      <c r="F196" s="9"/>
      <c r="G196" s="9"/>
      <c r="H196" s="16"/>
      <c r="I196" s="9"/>
      <c r="K196" s="3"/>
      <c r="U196" s="3"/>
      <c r="AE196" s="3"/>
      <c r="AO196" s="3"/>
    </row>
    <row r="197" ht="14.25" customHeight="1">
      <c r="C197" s="9"/>
      <c r="D197" s="9"/>
      <c r="E197" s="9"/>
      <c r="F197" s="9"/>
      <c r="G197" s="9"/>
      <c r="H197" s="16"/>
      <c r="I197" s="9"/>
      <c r="K197" s="3"/>
      <c r="U197" s="3"/>
      <c r="AE197" s="3"/>
      <c r="AO197" s="3"/>
    </row>
    <row r="198" ht="14.25" customHeight="1">
      <c r="C198" s="9"/>
      <c r="D198" s="9"/>
      <c r="E198" s="9"/>
      <c r="F198" s="9"/>
      <c r="G198" s="9"/>
      <c r="H198" s="16"/>
      <c r="I198" s="9"/>
      <c r="K198" s="3"/>
      <c r="U198" s="3"/>
      <c r="AE198" s="3"/>
      <c r="AO198" s="3"/>
    </row>
    <row r="199" ht="14.25" customHeight="1">
      <c r="C199" s="9"/>
      <c r="D199" s="9"/>
      <c r="E199" s="9"/>
      <c r="F199" s="9"/>
      <c r="G199" s="9"/>
      <c r="H199" s="16"/>
      <c r="I199" s="9"/>
      <c r="K199" s="3"/>
      <c r="U199" s="3"/>
      <c r="AE199" s="3"/>
      <c r="AO199" s="3"/>
    </row>
    <row r="200" ht="14.25" customHeight="1">
      <c r="C200" s="9"/>
      <c r="D200" s="9"/>
      <c r="E200" s="9"/>
      <c r="F200" s="9"/>
      <c r="G200" s="9"/>
      <c r="H200" s="16"/>
      <c r="I200" s="9"/>
      <c r="K200" s="3"/>
      <c r="U200" s="3"/>
      <c r="AE200" s="3"/>
      <c r="AO200" s="3"/>
    </row>
    <row r="201" ht="14.25" customHeight="1">
      <c r="C201" s="9"/>
      <c r="D201" s="9"/>
      <c r="E201" s="9"/>
      <c r="F201" s="9"/>
      <c r="G201" s="9"/>
      <c r="H201" s="16"/>
      <c r="I201" s="9"/>
      <c r="K201" s="3"/>
      <c r="U201" s="3"/>
      <c r="AE201" s="3"/>
      <c r="AO201" s="3"/>
    </row>
    <row r="202" ht="14.25" customHeight="1">
      <c r="C202" s="9"/>
      <c r="D202" s="9"/>
      <c r="E202" s="9"/>
      <c r="F202" s="9"/>
      <c r="G202" s="9"/>
      <c r="H202" s="16"/>
      <c r="I202" s="9"/>
      <c r="K202" s="3"/>
      <c r="U202" s="3"/>
      <c r="AE202" s="3"/>
      <c r="AO202" s="3"/>
    </row>
    <row r="203" ht="14.25" customHeight="1">
      <c r="C203" s="9"/>
      <c r="D203" s="9"/>
      <c r="E203" s="9"/>
      <c r="F203" s="9"/>
      <c r="G203" s="9"/>
      <c r="H203" s="16"/>
      <c r="I203" s="9"/>
      <c r="K203" s="3"/>
      <c r="U203" s="3"/>
      <c r="AE203" s="3"/>
      <c r="AO203" s="3"/>
    </row>
    <row r="204" ht="14.25" customHeight="1">
      <c r="C204" s="9"/>
      <c r="D204" s="9"/>
      <c r="E204" s="9"/>
      <c r="F204" s="9"/>
      <c r="G204" s="9"/>
      <c r="H204" s="16"/>
      <c r="I204" s="9"/>
      <c r="K204" s="3"/>
      <c r="U204" s="3"/>
      <c r="AE204" s="3"/>
      <c r="AO204" s="3"/>
    </row>
    <row r="205" ht="14.25" customHeight="1">
      <c r="C205" s="9"/>
      <c r="D205" s="9"/>
      <c r="E205" s="9"/>
      <c r="F205" s="9"/>
      <c r="G205" s="9"/>
      <c r="H205" s="16"/>
      <c r="I205" s="9"/>
      <c r="K205" s="3"/>
      <c r="U205" s="3"/>
      <c r="AE205" s="3"/>
      <c r="AO205" s="3"/>
    </row>
    <row r="206" ht="14.25" customHeight="1">
      <c r="C206" s="9"/>
      <c r="D206" s="9"/>
      <c r="E206" s="9"/>
      <c r="F206" s="9"/>
      <c r="G206" s="9"/>
      <c r="H206" s="16"/>
      <c r="I206" s="9"/>
      <c r="K206" s="3"/>
      <c r="U206" s="3"/>
      <c r="AE206" s="3"/>
      <c r="AO206" s="3"/>
    </row>
    <row r="207" ht="14.25" customHeight="1">
      <c r="C207" s="9"/>
      <c r="D207" s="9"/>
      <c r="E207" s="9"/>
      <c r="F207" s="9"/>
      <c r="G207" s="9"/>
      <c r="H207" s="16"/>
      <c r="I207" s="9"/>
      <c r="K207" s="3"/>
      <c r="U207" s="3"/>
      <c r="AE207" s="3"/>
      <c r="AO207" s="3"/>
    </row>
    <row r="208" ht="14.25" customHeight="1">
      <c r="C208" s="9"/>
      <c r="D208" s="9"/>
      <c r="E208" s="9"/>
      <c r="F208" s="9"/>
      <c r="G208" s="9"/>
      <c r="H208" s="16"/>
      <c r="I208" s="9"/>
      <c r="K208" s="3"/>
      <c r="U208" s="3"/>
      <c r="AE208" s="3"/>
      <c r="AO208" s="3"/>
    </row>
    <row r="209" ht="14.25" customHeight="1">
      <c r="C209" s="9"/>
      <c r="D209" s="9"/>
      <c r="E209" s="9"/>
      <c r="F209" s="9"/>
      <c r="G209" s="9"/>
      <c r="H209" s="16"/>
      <c r="I209" s="9"/>
      <c r="K209" s="3"/>
      <c r="U209" s="3"/>
      <c r="AE209" s="3"/>
      <c r="AO209" s="3"/>
    </row>
    <row r="210" ht="14.25" customHeight="1">
      <c r="C210" s="9"/>
      <c r="D210" s="9"/>
      <c r="E210" s="9"/>
      <c r="F210" s="9"/>
      <c r="G210" s="9"/>
      <c r="H210" s="16"/>
      <c r="I210" s="9"/>
      <c r="K210" s="3"/>
      <c r="U210" s="3"/>
      <c r="AE210" s="3"/>
      <c r="AO210" s="3"/>
    </row>
    <row r="211" ht="14.25" customHeight="1">
      <c r="C211" s="9"/>
      <c r="D211" s="9"/>
      <c r="E211" s="9"/>
      <c r="F211" s="9"/>
      <c r="G211" s="9"/>
      <c r="H211" s="16"/>
      <c r="I211" s="9"/>
      <c r="K211" s="3"/>
      <c r="U211" s="3"/>
      <c r="AE211" s="3"/>
      <c r="AO211" s="3"/>
    </row>
    <row r="212" ht="14.25" customHeight="1">
      <c r="C212" s="9"/>
      <c r="D212" s="9"/>
      <c r="E212" s="9"/>
      <c r="F212" s="9"/>
      <c r="G212" s="9"/>
      <c r="H212" s="16"/>
      <c r="I212" s="9"/>
      <c r="K212" s="3"/>
      <c r="U212" s="3"/>
      <c r="AE212" s="3"/>
      <c r="AO212" s="3"/>
    </row>
    <row r="213" ht="14.25" customHeight="1">
      <c r="C213" s="9"/>
      <c r="D213" s="9"/>
      <c r="E213" s="9"/>
      <c r="F213" s="9"/>
      <c r="G213" s="9"/>
      <c r="H213" s="16"/>
      <c r="I213" s="9"/>
      <c r="K213" s="3"/>
      <c r="U213" s="3"/>
      <c r="AE213" s="3"/>
      <c r="AO213" s="3"/>
    </row>
    <row r="214" ht="14.25" customHeight="1">
      <c r="C214" s="9"/>
      <c r="D214" s="9"/>
      <c r="E214" s="9"/>
      <c r="F214" s="9"/>
      <c r="G214" s="9"/>
      <c r="H214" s="16"/>
      <c r="I214" s="9"/>
      <c r="K214" s="3"/>
      <c r="U214" s="3"/>
      <c r="AE214" s="3"/>
      <c r="AO214" s="3"/>
    </row>
    <row r="215" ht="14.25" customHeight="1">
      <c r="C215" s="9"/>
      <c r="D215" s="9"/>
      <c r="E215" s="9"/>
      <c r="F215" s="9"/>
      <c r="G215" s="9"/>
      <c r="H215" s="16"/>
      <c r="I215" s="9"/>
      <c r="K215" s="3"/>
      <c r="U215" s="3"/>
      <c r="AE215" s="3"/>
      <c r="AO215" s="3"/>
    </row>
    <row r="216" ht="14.25" customHeight="1">
      <c r="C216" s="9"/>
      <c r="D216" s="9"/>
      <c r="E216" s="9"/>
      <c r="F216" s="9"/>
      <c r="G216" s="9"/>
      <c r="H216" s="16"/>
      <c r="I216" s="9"/>
      <c r="K216" s="3"/>
      <c r="U216" s="3"/>
      <c r="AE216" s="3"/>
      <c r="AO216" s="3"/>
    </row>
    <row r="217" ht="14.25" customHeight="1">
      <c r="C217" s="9"/>
      <c r="D217" s="9"/>
      <c r="E217" s="9"/>
      <c r="F217" s="9"/>
      <c r="G217" s="9"/>
      <c r="H217" s="16"/>
      <c r="I217" s="9"/>
      <c r="K217" s="3"/>
      <c r="U217" s="3"/>
      <c r="AE217" s="3"/>
      <c r="AO217" s="3"/>
    </row>
    <row r="218" ht="14.25" customHeight="1">
      <c r="C218" s="9"/>
      <c r="D218" s="9"/>
      <c r="E218" s="9"/>
      <c r="F218" s="9"/>
      <c r="G218" s="9"/>
      <c r="H218" s="16"/>
      <c r="I218" s="9"/>
      <c r="K218" s="3"/>
      <c r="U218" s="3"/>
      <c r="AE218" s="3"/>
      <c r="AO218" s="3"/>
    </row>
    <row r="219" ht="14.25" customHeight="1">
      <c r="C219" s="9"/>
      <c r="D219" s="9"/>
      <c r="E219" s="9"/>
      <c r="F219" s="9"/>
      <c r="G219" s="9"/>
      <c r="H219" s="16"/>
      <c r="I219" s="9"/>
      <c r="K219" s="3"/>
      <c r="U219" s="3"/>
      <c r="AE219" s="3"/>
      <c r="AO219" s="3"/>
    </row>
    <row r="220" ht="14.25" customHeight="1">
      <c r="C220" s="9"/>
      <c r="D220" s="9"/>
      <c r="E220" s="9"/>
      <c r="F220" s="9"/>
      <c r="G220" s="9"/>
      <c r="H220" s="16"/>
      <c r="I220" s="9"/>
      <c r="K220" s="3"/>
      <c r="U220" s="3"/>
      <c r="AE220" s="3"/>
      <c r="AO220" s="3"/>
    </row>
    <row r="221" ht="14.25" customHeight="1">
      <c r="C221" s="9"/>
      <c r="D221" s="9"/>
      <c r="E221" s="9"/>
      <c r="F221" s="9"/>
      <c r="G221" s="9"/>
      <c r="H221" s="16"/>
      <c r="I221" s="9"/>
      <c r="K221" s="3"/>
      <c r="U221" s="3"/>
      <c r="AE221" s="3"/>
      <c r="AO221" s="3"/>
    </row>
    <row r="222" ht="14.25" customHeight="1">
      <c r="C222" s="9"/>
      <c r="D222" s="9"/>
      <c r="E222" s="9"/>
      <c r="F222" s="9"/>
      <c r="G222" s="9"/>
      <c r="H222" s="16"/>
      <c r="I222" s="9"/>
      <c r="K222" s="3"/>
      <c r="U222" s="3"/>
      <c r="AE222" s="3"/>
      <c r="AO222" s="3"/>
    </row>
    <row r="223" ht="14.25" customHeight="1">
      <c r="C223" s="9"/>
      <c r="D223" s="9"/>
      <c r="E223" s="9"/>
      <c r="F223" s="9"/>
      <c r="G223" s="9"/>
      <c r="H223" s="16"/>
      <c r="I223" s="9"/>
      <c r="K223" s="3"/>
      <c r="U223" s="3"/>
      <c r="AE223" s="3"/>
      <c r="AO223" s="3"/>
    </row>
    <row r="224" ht="14.25" customHeight="1">
      <c r="C224" s="9"/>
      <c r="D224" s="9"/>
      <c r="E224" s="9"/>
      <c r="F224" s="9"/>
      <c r="G224" s="9"/>
      <c r="H224" s="16"/>
      <c r="I224" s="9"/>
      <c r="K224" s="3"/>
      <c r="U224" s="3"/>
      <c r="AE224" s="3"/>
      <c r="AO224" s="3"/>
    </row>
    <row r="225" ht="14.25" customHeight="1">
      <c r="C225" s="9"/>
      <c r="D225" s="9"/>
      <c r="E225" s="9"/>
      <c r="F225" s="9"/>
      <c r="G225" s="9"/>
      <c r="H225" s="16"/>
      <c r="I225" s="9"/>
      <c r="K225" s="3"/>
      <c r="U225" s="3"/>
      <c r="AE225" s="3"/>
      <c r="AO225" s="3"/>
    </row>
    <row r="226" ht="14.25" customHeight="1">
      <c r="C226" s="9"/>
      <c r="D226" s="9"/>
      <c r="E226" s="9"/>
      <c r="F226" s="9"/>
      <c r="G226" s="9"/>
      <c r="H226" s="16"/>
      <c r="I226" s="9"/>
      <c r="K226" s="3"/>
      <c r="U226" s="3"/>
      <c r="AE226" s="3"/>
      <c r="AO226" s="3"/>
    </row>
    <row r="227" ht="14.25" customHeight="1">
      <c r="C227" s="9"/>
      <c r="D227" s="9"/>
      <c r="E227" s="9"/>
      <c r="F227" s="9"/>
      <c r="G227" s="9"/>
      <c r="H227" s="16"/>
      <c r="I227" s="9"/>
      <c r="K227" s="3"/>
      <c r="U227" s="3"/>
      <c r="AE227" s="3"/>
      <c r="AO227" s="3"/>
    </row>
    <row r="228" ht="14.25" customHeight="1">
      <c r="C228" s="9"/>
      <c r="D228" s="9"/>
      <c r="E228" s="9"/>
      <c r="F228" s="9"/>
      <c r="G228" s="9"/>
      <c r="H228" s="16"/>
      <c r="I228" s="9"/>
      <c r="K228" s="3"/>
      <c r="U228" s="3"/>
      <c r="AE228" s="3"/>
      <c r="AO228" s="3"/>
    </row>
    <row r="229" ht="14.25" customHeight="1">
      <c r="C229" s="9"/>
      <c r="D229" s="9"/>
      <c r="E229" s="9"/>
      <c r="F229" s="9"/>
      <c r="G229" s="9"/>
      <c r="H229" s="16"/>
      <c r="I229" s="9"/>
      <c r="K229" s="3"/>
      <c r="U229" s="3"/>
      <c r="AE229" s="3"/>
      <c r="AO229" s="3"/>
    </row>
    <row r="230" ht="14.25" customHeight="1">
      <c r="C230" s="9"/>
      <c r="D230" s="9"/>
      <c r="E230" s="9"/>
      <c r="F230" s="9"/>
      <c r="G230" s="9"/>
      <c r="H230" s="16"/>
      <c r="I230" s="9"/>
      <c r="K230" s="3"/>
      <c r="U230" s="3"/>
      <c r="AE230" s="3"/>
      <c r="AO230" s="3"/>
    </row>
    <row r="231" ht="14.25" customHeight="1">
      <c r="C231" s="9"/>
      <c r="D231" s="9"/>
      <c r="E231" s="9"/>
      <c r="F231" s="9"/>
      <c r="G231" s="9"/>
      <c r="H231" s="16"/>
      <c r="I231" s="9"/>
      <c r="K231" s="3"/>
      <c r="U231" s="3"/>
      <c r="AE231" s="3"/>
      <c r="AO231" s="3"/>
    </row>
    <row r="232" ht="14.25" customHeight="1">
      <c r="C232" s="9"/>
      <c r="D232" s="9"/>
      <c r="E232" s="9"/>
      <c r="F232" s="9"/>
      <c r="G232" s="9"/>
      <c r="H232" s="16"/>
      <c r="I232" s="9"/>
      <c r="K232" s="3"/>
      <c r="U232" s="3"/>
      <c r="AE232" s="3"/>
      <c r="AO232" s="3"/>
    </row>
    <row r="233" ht="14.25" customHeight="1">
      <c r="C233" s="9"/>
      <c r="D233" s="9"/>
      <c r="E233" s="9"/>
      <c r="F233" s="9"/>
      <c r="G233" s="9"/>
      <c r="H233" s="16"/>
      <c r="I233" s="9"/>
      <c r="K233" s="3"/>
      <c r="U233" s="3"/>
      <c r="AE233" s="3"/>
      <c r="AO233" s="3"/>
    </row>
    <row r="234" ht="14.25" customHeight="1">
      <c r="C234" s="9"/>
      <c r="D234" s="9"/>
      <c r="E234" s="9"/>
      <c r="F234" s="9"/>
      <c r="G234" s="9"/>
      <c r="H234" s="16"/>
      <c r="I234" s="9"/>
      <c r="K234" s="3"/>
      <c r="U234" s="3"/>
      <c r="AE234" s="3"/>
      <c r="AO234" s="3"/>
    </row>
    <row r="235" ht="14.25" customHeight="1">
      <c r="C235" s="9"/>
      <c r="D235" s="9"/>
      <c r="E235" s="9"/>
      <c r="F235" s="9"/>
      <c r="G235" s="9"/>
      <c r="H235" s="16"/>
      <c r="I235" s="9"/>
      <c r="K235" s="3"/>
      <c r="U235" s="3"/>
      <c r="AE235" s="3"/>
      <c r="AO235" s="3"/>
    </row>
    <row r="236" ht="14.25" customHeight="1">
      <c r="C236" s="9"/>
      <c r="D236" s="9"/>
      <c r="E236" s="9"/>
      <c r="F236" s="9"/>
      <c r="G236" s="9"/>
      <c r="H236" s="16"/>
      <c r="I236" s="9"/>
      <c r="K236" s="3"/>
      <c r="U236" s="3"/>
      <c r="AE236" s="3"/>
      <c r="AO236" s="3"/>
    </row>
    <row r="237" ht="14.25" customHeight="1">
      <c r="C237" s="9"/>
      <c r="D237" s="9"/>
      <c r="E237" s="9"/>
      <c r="F237" s="9"/>
      <c r="G237" s="9"/>
      <c r="H237" s="16"/>
      <c r="I237" s="9"/>
      <c r="K237" s="3"/>
      <c r="U237" s="3"/>
      <c r="AE237" s="3"/>
      <c r="AO237" s="3"/>
    </row>
    <row r="238" ht="14.25" customHeight="1">
      <c r="C238" s="9"/>
      <c r="D238" s="9"/>
      <c r="E238" s="9"/>
      <c r="F238" s="9"/>
      <c r="G238" s="9"/>
      <c r="H238" s="16"/>
      <c r="I238" s="9"/>
      <c r="K238" s="3"/>
      <c r="U238" s="3"/>
      <c r="AE238" s="3"/>
      <c r="AO238" s="3"/>
    </row>
    <row r="239" ht="14.25" customHeight="1">
      <c r="C239" s="9"/>
      <c r="D239" s="9"/>
      <c r="E239" s="9"/>
      <c r="F239" s="9"/>
      <c r="G239" s="9"/>
      <c r="H239" s="16"/>
      <c r="I239" s="9"/>
      <c r="K239" s="3"/>
      <c r="U239" s="3"/>
      <c r="AE239" s="3"/>
      <c r="AO239" s="3"/>
    </row>
    <row r="240" ht="14.25" customHeight="1">
      <c r="C240" s="9"/>
      <c r="D240" s="9"/>
      <c r="E240" s="9"/>
      <c r="F240" s="9"/>
      <c r="G240" s="9"/>
      <c r="H240" s="16"/>
      <c r="I240" s="9"/>
      <c r="K240" s="3"/>
      <c r="U240" s="3"/>
      <c r="AE240" s="3"/>
      <c r="AO240" s="3"/>
    </row>
    <row r="241" ht="14.25" customHeight="1">
      <c r="C241" s="9"/>
      <c r="D241" s="9"/>
      <c r="E241" s="9"/>
      <c r="F241" s="9"/>
      <c r="G241" s="9"/>
      <c r="H241" s="16"/>
      <c r="I241" s="9"/>
      <c r="K241" s="3"/>
      <c r="U241" s="3"/>
      <c r="AE241" s="3"/>
      <c r="AO241" s="3"/>
    </row>
    <row r="242" ht="14.25" customHeight="1">
      <c r="C242" s="9"/>
      <c r="D242" s="9"/>
      <c r="E242" s="9"/>
      <c r="F242" s="9"/>
      <c r="G242" s="9"/>
      <c r="H242" s="16"/>
      <c r="I242" s="9"/>
      <c r="K242" s="3"/>
      <c r="U242" s="3"/>
      <c r="AE242" s="3"/>
      <c r="AO242" s="3"/>
    </row>
    <row r="243" ht="14.25" customHeight="1">
      <c r="C243" s="9"/>
      <c r="D243" s="9"/>
      <c r="E243" s="9"/>
      <c r="F243" s="9"/>
      <c r="G243" s="9"/>
      <c r="H243" s="16"/>
      <c r="I243" s="9"/>
      <c r="K243" s="3"/>
      <c r="U243" s="3"/>
      <c r="AE243" s="3"/>
      <c r="AO243" s="3"/>
    </row>
    <row r="244" ht="14.25" customHeight="1">
      <c r="C244" s="9"/>
      <c r="D244" s="9"/>
      <c r="E244" s="9"/>
      <c r="F244" s="9"/>
      <c r="G244" s="9"/>
      <c r="H244" s="16"/>
      <c r="I244" s="9"/>
      <c r="K244" s="3"/>
      <c r="U244" s="3"/>
      <c r="AE244" s="3"/>
      <c r="AO244" s="3"/>
    </row>
    <row r="245" ht="14.25" customHeight="1">
      <c r="C245" s="9"/>
      <c r="D245" s="9"/>
      <c r="E245" s="9"/>
      <c r="F245" s="9"/>
      <c r="G245" s="9"/>
      <c r="H245" s="16"/>
      <c r="I245" s="9"/>
      <c r="K245" s="3"/>
      <c r="U245" s="3"/>
      <c r="AE245" s="3"/>
      <c r="AO245" s="3"/>
    </row>
    <row r="246" ht="14.25" customHeight="1">
      <c r="C246" s="9"/>
      <c r="D246" s="9"/>
      <c r="E246" s="9"/>
      <c r="F246" s="9"/>
      <c r="G246" s="9"/>
      <c r="H246" s="16"/>
      <c r="I246" s="9"/>
      <c r="K246" s="3"/>
      <c r="U246" s="3"/>
      <c r="AE246" s="3"/>
      <c r="AO246" s="3"/>
    </row>
    <row r="247" ht="14.25" customHeight="1">
      <c r="C247" s="9"/>
      <c r="D247" s="9"/>
      <c r="E247" s="9"/>
      <c r="F247" s="9"/>
      <c r="G247" s="9"/>
      <c r="H247" s="16"/>
      <c r="I247" s="9"/>
      <c r="K247" s="3"/>
      <c r="U247" s="3"/>
      <c r="AE247" s="3"/>
      <c r="AO247" s="3"/>
    </row>
    <row r="248" ht="14.25" customHeight="1">
      <c r="C248" s="9"/>
      <c r="D248" s="9"/>
      <c r="E248" s="9"/>
      <c r="F248" s="9"/>
      <c r="G248" s="9"/>
      <c r="H248" s="16"/>
      <c r="I248" s="9"/>
      <c r="K248" s="3"/>
      <c r="U248" s="3"/>
      <c r="AE248" s="3"/>
      <c r="AO248" s="3"/>
    </row>
    <row r="249" ht="14.25" customHeight="1">
      <c r="C249" s="9"/>
      <c r="D249" s="9"/>
      <c r="E249" s="9"/>
      <c r="F249" s="9"/>
      <c r="G249" s="9"/>
      <c r="H249" s="16"/>
      <c r="I249" s="9"/>
      <c r="K249" s="3"/>
      <c r="U249" s="3"/>
      <c r="AE249" s="3"/>
      <c r="AO249" s="3"/>
    </row>
    <row r="250" ht="14.25" customHeight="1">
      <c r="C250" s="9"/>
      <c r="D250" s="9"/>
      <c r="E250" s="9"/>
      <c r="F250" s="9"/>
      <c r="G250" s="9"/>
      <c r="H250" s="16"/>
      <c r="I250" s="9"/>
      <c r="K250" s="3"/>
      <c r="U250" s="3"/>
      <c r="AE250" s="3"/>
      <c r="AO250" s="3"/>
    </row>
    <row r="251" ht="14.25" customHeight="1">
      <c r="C251" s="9"/>
      <c r="D251" s="9"/>
      <c r="E251" s="9"/>
      <c r="F251" s="9"/>
      <c r="G251" s="9"/>
      <c r="H251" s="16"/>
      <c r="I251" s="9"/>
      <c r="K251" s="3"/>
      <c r="U251" s="3"/>
      <c r="AE251" s="3"/>
      <c r="AO251" s="3"/>
    </row>
    <row r="252" ht="14.25" customHeight="1">
      <c r="C252" s="9"/>
      <c r="D252" s="9"/>
      <c r="E252" s="9"/>
      <c r="F252" s="9"/>
      <c r="G252" s="9"/>
      <c r="H252" s="16"/>
      <c r="I252" s="9"/>
      <c r="K252" s="3"/>
      <c r="U252" s="3"/>
      <c r="AE252" s="3"/>
      <c r="AO252" s="3"/>
    </row>
    <row r="253" ht="14.25" customHeight="1">
      <c r="C253" s="9"/>
      <c r="D253" s="9"/>
      <c r="E253" s="9"/>
      <c r="F253" s="9"/>
      <c r="G253" s="9"/>
      <c r="H253" s="16"/>
      <c r="I253" s="9"/>
      <c r="K253" s="3"/>
      <c r="U253" s="3"/>
      <c r="AE253" s="3"/>
      <c r="AO253" s="3"/>
    </row>
    <row r="254" ht="14.25" customHeight="1">
      <c r="C254" s="9"/>
      <c r="D254" s="9"/>
      <c r="E254" s="9"/>
      <c r="F254" s="9"/>
      <c r="G254" s="9"/>
      <c r="H254" s="16"/>
      <c r="I254" s="9"/>
      <c r="K254" s="3"/>
      <c r="U254" s="3"/>
      <c r="AE254" s="3"/>
      <c r="AO254" s="3"/>
    </row>
    <row r="255" ht="14.25" customHeight="1">
      <c r="C255" s="9"/>
      <c r="D255" s="9"/>
      <c r="E255" s="9"/>
      <c r="F255" s="9"/>
      <c r="G255" s="9"/>
      <c r="H255" s="16"/>
      <c r="I255" s="9"/>
      <c r="K255" s="3"/>
      <c r="U255" s="3"/>
      <c r="AE255" s="3"/>
      <c r="AO255" s="3"/>
    </row>
    <row r="256" ht="14.25" customHeight="1">
      <c r="C256" s="9"/>
      <c r="D256" s="9"/>
      <c r="E256" s="9"/>
      <c r="F256" s="9"/>
      <c r="G256" s="9"/>
      <c r="H256" s="16"/>
      <c r="I256" s="9"/>
      <c r="K256" s="3"/>
      <c r="U256" s="3"/>
      <c r="AE256" s="3"/>
      <c r="AO256" s="3"/>
    </row>
    <row r="257" ht="14.25" customHeight="1">
      <c r="C257" s="9"/>
      <c r="D257" s="9"/>
      <c r="E257" s="9"/>
      <c r="F257" s="9"/>
      <c r="G257" s="9"/>
      <c r="H257" s="16"/>
      <c r="I257" s="9"/>
      <c r="K257" s="3"/>
      <c r="U257" s="3"/>
      <c r="AE257" s="3"/>
      <c r="AO257" s="3"/>
    </row>
    <row r="258" ht="14.25" customHeight="1">
      <c r="C258" s="9"/>
      <c r="D258" s="9"/>
      <c r="E258" s="9"/>
      <c r="F258" s="9"/>
      <c r="G258" s="9"/>
      <c r="H258" s="16"/>
      <c r="I258" s="9"/>
      <c r="K258" s="3"/>
      <c r="U258" s="3"/>
      <c r="AE258" s="3"/>
      <c r="AO258" s="3"/>
    </row>
    <row r="259" ht="14.25" customHeight="1">
      <c r="C259" s="9"/>
      <c r="D259" s="9"/>
      <c r="E259" s="9"/>
      <c r="F259" s="9"/>
      <c r="G259" s="9"/>
      <c r="H259" s="16"/>
      <c r="I259" s="9"/>
      <c r="K259" s="3"/>
      <c r="U259" s="3"/>
      <c r="AE259" s="3"/>
      <c r="AO259" s="3"/>
    </row>
    <row r="260" ht="14.25" customHeight="1">
      <c r="C260" s="9"/>
      <c r="D260" s="9"/>
      <c r="E260" s="9"/>
      <c r="F260" s="9"/>
      <c r="G260" s="9"/>
      <c r="H260" s="16"/>
      <c r="I260" s="9"/>
      <c r="K260" s="3"/>
      <c r="U260" s="3"/>
      <c r="AE260" s="3"/>
      <c r="AO260" s="3"/>
    </row>
    <row r="261" ht="14.25" customHeight="1">
      <c r="C261" s="9"/>
      <c r="D261" s="9"/>
      <c r="E261" s="9"/>
      <c r="F261" s="9"/>
      <c r="G261" s="9"/>
      <c r="H261" s="16"/>
      <c r="I261" s="9"/>
      <c r="K261" s="3"/>
      <c r="U261" s="3"/>
      <c r="AE261" s="3"/>
      <c r="AO261" s="3"/>
    </row>
    <row r="262" ht="14.25" customHeight="1">
      <c r="C262" s="9"/>
      <c r="D262" s="9"/>
      <c r="E262" s="9"/>
      <c r="F262" s="9"/>
      <c r="G262" s="9"/>
      <c r="H262" s="16"/>
      <c r="I262" s="9"/>
      <c r="K262" s="3"/>
      <c r="U262" s="3"/>
      <c r="AE262" s="3"/>
      <c r="AO262" s="3"/>
    </row>
    <row r="263" ht="14.25" customHeight="1">
      <c r="C263" s="9"/>
      <c r="D263" s="9"/>
      <c r="E263" s="9"/>
      <c r="F263" s="9"/>
      <c r="G263" s="9"/>
      <c r="H263" s="16"/>
      <c r="I263" s="9"/>
      <c r="K263" s="3"/>
      <c r="U263" s="3"/>
      <c r="AE263" s="3"/>
      <c r="AO263" s="3"/>
    </row>
    <row r="264" ht="14.25" customHeight="1">
      <c r="C264" s="9"/>
      <c r="D264" s="9"/>
      <c r="E264" s="9"/>
      <c r="F264" s="9"/>
      <c r="G264" s="9"/>
      <c r="H264" s="16"/>
      <c r="I264" s="9"/>
      <c r="K264" s="3"/>
      <c r="U264" s="3"/>
      <c r="AE264" s="3"/>
      <c r="AO264" s="3"/>
    </row>
    <row r="265" ht="14.25" customHeight="1">
      <c r="C265" s="9"/>
      <c r="D265" s="9"/>
      <c r="E265" s="9"/>
      <c r="F265" s="9"/>
      <c r="G265" s="9"/>
      <c r="H265" s="16"/>
      <c r="I265" s="9"/>
      <c r="K265" s="3"/>
      <c r="U265" s="3"/>
      <c r="AE265" s="3"/>
      <c r="AO265" s="3"/>
    </row>
    <row r="266" ht="14.25" customHeight="1">
      <c r="C266" s="9"/>
      <c r="D266" s="9"/>
      <c r="E266" s="9"/>
      <c r="F266" s="9"/>
      <c r="G266" s="9"/>
      <c r="H266" s="16"/>
      <c r="I266" s="9"/>
      <c r="K266" s="3"/>
      <c r="U266" s="3"/>
      <c r="AE266" s="3"/>
      <c r="AO266" s="3"/>
    </row>
    <row r="267" ht="14.25" customHeight="1">
      <c r="C267" s="9"/>
      <c r="D267" s="9"/>
      <c r="E267" s="9"/>
      <c r="F267" s="9"/>
      <c r="G267" s="9"/>
      <c r="H267" s="16"/>
      <c r="I267" s="9"/>
      <c r="K267" s="3"/>
      <c r="U267" s="3"/>
      <c r="AE267" s="3"/>
      <c r="AO267" s="3"/>
    </row>
    <row r="268" ht="14.25" customHeight="1">
      <c r="C268" s="9"/>
      <c r="D268" s="9"/>
      <c r="E268" s="9"/>
      <c r="F268" s="9"/>
      <c r="G268" s="9"/>
      <c r="H268" s="16"/>
      <c r="I268" s="9"/>
      <c r="K268" s="3"/>
      <c r="U268" s="3"/>
      <c r="AE268" s="3"/>
      <c r="AO268" s="3"/>
    </row>
    <row r="269" ht="14.25" customHeight="1">
      <c r="C269" s="9"/>
      <c r="D269" s="9"/>
      <c r="E269" s="9"/>
      <c r="F269" s="9"/>
      <c r="G269" s="9"/>
      <c r="H269" s="16"/>
      <c r="I269" s="9"/>
      <c r="K269" s="3"/>
      <c r="U269" s="3"/>
      <c r="AE269" s="3"/>
      <c r="AO269" s="3"/>
    </row>
    <row r="270" ht="14.25" customHeight="1">
      <c r="C270" s="9"/>
      <c r="D270" s="9"/>
      <c r="E270" s="9"/>
      <c r="F270" s="9"/>
      <c r="G270" s="9"/>
      <c r="H270" s="16"/>
      <c r="I270" s="9"/>
      <c r="K270" s="3"/>
      <c r="U270" s="3"/>
      <c r="AE270" s="3"/>
      <c r="AO270" s="3"/>
    </row>
    <row r="271" ht="14.25" customHeight="1">
      <c r="C271" s="9"/>
      <c r="D271" s="9"/>
      <c r="E271" s="9"/>
      <c r="F271" s="9"/>
      <c r="G271" s="9"/>
      <c r="H271" s="16"/>
      <c r="I271" s="9"/>
      <c r="K271" s="3"/>
      <c r="U271" s="3"/>
      <c r="AE271" s="3"/>
      <c r="AO271" s="3"/>
    </row>
    <row r="272" ht="14.25" customHeight="1">
      <c r="C272" s="9"/>
      <c r="D272" s="9"/>
      <c r="E272" s="9"/>
      <c r="F272" s="9"/>
      <c r="G272" s="9"/>
      <c r="H272" s="16"/>
      <c r="I272" s="9"/>
      <c r="K272" s="3"/>
      <c r="U272" s="3"/>
      <c r="AE272" s="3"/>
      <c r="AO272" s="3"/>
    </row>
    <row r="273" ht="14.25" customHeight="1">
      <c r="C273" s="9"/>
      <c r="D273" s="9"/>
      <c r="E273" s="9"/>
      <c r="F273" s="9"/>
      <c r="G273" s="9"/>
      <c r="H273" s="16"/>
      <c r="I273" s="9"/>
      <c r="K273" s="3"/>
      <c r="U273" s="3"/>
      <c r="AE273" s="3"/>
      <c r="AO273" s="3"/>
    </row>
    <row r="274" ht="14.25" customHeight="1">
      <c r="C274" s="9"/>
      <c r="D274" s="9"/>
      <c r="E274" s="9"/>
      <c r="F274" s="9"/>
      <c r="G274" s="9"/>
      <c r="H274" s="16"/>
      <c r="I274" s="9"/>
      <c r="K274" s="3"/>
      <c r="U274" s="3"/>
      <c r="AE274" s="3"/>
      <c r="AO274" s="3"/>
    </row>
    <row r="275" ht="14.25" customHeight="1">
      <c r="C275" s="9"/>
      <c r="D275" s="9"/>
      <c r="E275" s="9"/>
      <c r="F275" s="9"/>
      <c r="G275" s="9"/>
      <c r="H275" s="16"/>
      <c r="I275" s="9"/>
      <c r="K275" s="3"/>
      <c r="U275" s="3"/>
      <c r="AE275" s="3"/>
      <c r="AO275" s="3"/>
    </row>
    <row r="276" ht="14.25" customHeight="1">
      <c r="C276" s="9"/>
      <c r="D276" s="9"/>
      <c r="E276" s="9"/>
      <c r="F276" s="9"/>
      <c r="G276" s="9"/>
      <c r="H276" s="16"/>
      <c r="I276" s="9"/>
      <c r="K276" s="3"/>
      <c r="U276" s="3"/>
      <c r="AE276" s="3"/>
      <c r="AO276" s="3"/>
    </row>
    <row r="277" ht="14.25" customHeight="1">
      <c r="C277" s="9"/>
      <c r="D277" s="9"/>
      <c r="E277" s="9"/>
      <c r="F277" s="9"/>
      <c r="G277" s="9"/>
      <c r="H277" s="16"/>
      <c r="I277" s="9"/>
      <c r="K277" s="3"/>
      <c r="U277" s="3"/>
      <c r="AE277" s="3"/>
      <c r="AO277" s="3"/>
    </row>
    <row r="278" ht="14.25" customHeight="1">
      <c r="C278" s="9"/>
      <c r="D278" s="9"/>
      <c r="E278" s="9"/>
      <c r="F278" s="9"/>
      <c r="G278" s="9"/>
      <c r="H278" s="16"/>
      <c r="I278" s="9"/>
      <c r="K278" s="3"/>
      <c r="U278" s="3"/>
      <c r="AE278" s="3"/>
      <c r="AO278" s="3"/>
    </row>
    <row r="279" ht="14.25" customHeight="1">
      <c r="C279" s="9"/>
      <c r="D279" s="9"/>
      <c r="E279" s="9"/>
      <c r="F279" s="9"/>
      <c r="G279" s="9"/>
      <c r="H279" s="16"/>
      <c r="I279" s="9"/>
      <c r="K279" s="3"/>
      <c r="U279" s="3"/>
      <c r="AE279" s="3"/>
      <c r="AO279" s="3"/>
    </row>
    <row r="280" ht="14.25" customHeight="1">
      <c r="C280" s="9"/>
      <c r="D280" s="9"/>
      <c r="E280" s="9"/>
      <c r="F280" s="9"/>
      <c r="G280" s="9"/>
      <c r="H280" s="16"/>
      <c r="I280" s="9"/>
      <c r="K280" s="3"/>
      <c r="U280" s="3"/>
      <c r="AE280" s="3"/>
      <c r="AO280" s="3"/>
    </row>
    <row r="281" ht="14.25" customHeight="1">
      <c r="C281" s="9"/>
      <c r="D281" s="9"/>
      <c r="E281" s="9"/>
      <c r="F281" s="9"/>
      <c r="G281" s="9"/>
      <c r="H281" s="16"/>
      <c r="I281" s="9"/>
      <c r="K281" s="3"/>
      <c r="U281" s="3"/>
      <c r="AE281" s="3"/>
      <c r="AO281" s="3"/>
    </row>
    <row r="282" ht="14.25" customHeight="1">
      <c r="C282" s="9"/>
      <c r="D282" s="9"/>
      <c r="E282" s="9"/>
      <c r="F282" s="9"/>
      <c r="G282" s="9"/>
      <c r="H282" s="16"/>
      <c r="I282" s="9"/>
      <c r="K282" s="3"/>
      <c r="U282" s="3"/>
      <c r="AE282" s="3"/>
      <c r="AO282" s="3"/>
    </row>
    <row r="283" ht="14.25" customHeight="1">
      <c r="C283" s="9"/>
      <c r="D283" s="9"/>
      <c r="E283" s="9"/>
      <c r="F283" s="9"/>
      <c r="G283" s="9"/>
      <c r="H283" s="16"/>
      <c r="I283" s="9"/>
      <c r="K283" s="3"/>
      <c r="U283" s="3"/>
      <c r="AE283" s="3"/>
      <c r="AO283" s="3"/>
    </row>
    <row r="284" ht="14.25" customHeight="1">
      <c r="C284" s="9"/>
      <c r="D284" s="9"/>
      <c r="E284" s="9"/>
      <c r="F284" s="9"/>
      <c r="G284" s="9"/>
      <c r="H284" s="16"/>
      <c r="I284" s="9"/>
      <c r="K284" s="3"/>
      <c r="U284" s="3"/>
      <c r="AE284" s="3"/>
      <c r="AO284" s="3"/>
    </row>
    <row r="285" ht="14.25" customHeight="1">
      <c r="C285" s="9"/>
      <c r="D285" s="9"/>
      <c r="E285" s="9"/>
      <c r="F285" s="9"/>
      <c r="G285" s="9"/>
      <c r="H285" s="16"/>
      <c r="I285" s="9"/>
      <c r="K285" s="3"/>
      <c r="U285" s="3"/>
      <c r="AE285" s="3"/>
      <c r="AO285" s="3"/>
    </row>
    <row r="286" ht="14.25" customHeight="1">
      <c r="C286" s="9"/>
      <c r="D286" s="9"/>
      <c r="E286" s="9"/>
      <c r="F286" s="9"/>
      <c r="G286" s="9"/>
      <c r="H286" s="16"/>
      <c r="I286" s="9"/>
      <c r="K286" s="3"/>
      <c r="U286" s="3"/>
      <c r="AE286" s="3"/>
      <c r="AO286" s="3"/>
    </row>
    <row r="287" ht="14.25" customHeight="1">
      <c r="C287" s="9"/>
      <c r="D287" s="9"/>
      <c r="E287" s="9"/>
      <c r="F287" s="9"/>
      <c r="G287" s="9"/>
      <c r="H287" s="16"/>
      <c r="I287" s="9"/>
      <c r="K287" s="3"/>
      <c r="U287" s="3"/>
      <c r="AE287" s="3"/>
      <c r="AO287" s="3"/>
    </row>
    <row r="288" ht="14.25" customHeight="1">
      <c r="C288" s="9"/>
      <c r="D288" s="9"/>
      <c r="E288" s="9"/>
      <c r="F288" s="9"/>
      <c r="G288" s="9"/>
      <c r="H288" s="16"/>
      <c r="I288" s="9"/>
      <c r="K288" s="3"/>
      <c r="U288" s="3"/>
      <c r="AE288" s="3"/>
      <c r="AO288" s="3"/>
    </row>
    <row r="289" ht="14.25" customHeight="1">
      <c r="C289" s="9"/>
      <c r="D289" s="9"/>
      <c r="E289" s="9"/>
      <c r="F289" s="9"/>
      <c r="G289" s="9"/>
      <c r="H289" s="16"/>
      <c r="I289" s="9"/>
      <c r="K289" s="3"/>
      <c r="U289" s="3"/>
      <c r="AE289" s="3"/>
      <c r="AO289" s="3"/>
    </row>
    <row r="290" ht="14.25" customHeight="1">
      <c r="C290" s="9"/>
      <c r="D290" s="9"/>
      <c r="E290" s="9"/>
      <c r="F290" s="9"/>
      <c r="G290" s="9"/>
      <c r="H290" s="16"/>
      <c r="I290" s="9"/>
      <c r="K290" s="3"/>
      <c r="U290" s="3"/>
      <c r="AE290" s="3"/>
      <c r="AO290" s="3"/>
    </row>
    <row r="291" ht="14.25" customHeight="1">
      <c r="C291" s="9"/>
      <c r="D291" s="9"/>
      <c r="E291" s="9"/>
      <c r="F291" s="9"/>
      <c r="G291" s="9"/>
      <c r="H291" s="16"/>
      <c r="I291" s="9"/>
      <c r="K291" s="3"/>
      <c r="U291" s="3"/>
      <c r="AE291" s="3"/>
      <c r="AO291" s="3"/>
    </row>
    <row r="292" ht="14.25" customHeight="1">
      <c r="C292" s="9"/>
      <c r="D292" s="9"/>
      <c r="E292" s="9"/>
      <c r="F292" s="9"/>
      <c r="G292" s="9"/>
      <c r="H292" s="16"/>
      <c r="I292" s="9"/>
      <c r="K292" s="3"/>
      <c r="U292" s="3"/>
      <c r="AE292" s="3"/>
      <c r="AO292" s="3"/>
    </row>
    <row r="293" ht="14.25" customHeight="1">
      <c r="C293" s="9"/>
      <c r="D293" s="9"/>
      <c r="E293" s="9"/>
      <c r="F293" s="9"/>
      <c r="G293" s="9"/>
      <c r="H293" s="16"/>
      <c r="I293" s="9"/>
      <c r="K293" s="3"/>
      <c r="U293" s="3"/>
      <c r="AE293" s="3"/>
      <c r="AO293" s="3"/>
    </row>
    <row r="294" ht="14.25" customHeight="1">
      <c r="C294" s="9"/>
      <c r="D294" s="9"/>
      <c r="E294" s="9"/>
      <c r="F294" s="9"/>
      <c r="G294" s="9"/>
      <c r="H294" s="16"/>
      <c r="I294" s="9"/>
      <c r="K294" s="3"/>
      <c r="U294" s="3"/>
      <c r="AE294" s="3"/>
      <c r="AO294" s="3"/>
    </row>
    <row r="295" ht="14.25" customHeight="1">
      <c r="C295" s="9"/>
      <c r="D295" s="9"/>
      <c r="E295" s="9"/>
      <c r="F295" s="9"/>
      <c r="G295" s="9"/>
      <c r="H295" s="16"/>
      <c r="I295" s="9"/>
      <c r="K295" s="3"/>
      <c r="U295" s="3"/>
      <c r="AE295" s="3"/>
      <c r="AO295" s="3"/>
    </row>
    <row r="296" ht="14.25" customHeight="1">
      <c r="C296" s="9"/>
      <c r="D296" s="9"/>
      <c r="E296" s="9"/>
      <c r="F296" s="9"/>
      <c r="G296" s="9"/>
      <c r="H296" s="16"/>
      <c r="I296" s="9"/>
      <c r="K296" s="3"/>
      <c r="U296" s="3"/>
      <c r="AE296" s="3"/>
      <c r="AO296" s="3"/>
    </row>
    <row r="297" ht="14.25" customHeight="1">
      <c r="C297" s="9"/>
      <c r="D297" s="9"/>
      <c r="E297" s="9"/>
      <c r="F297" s="9"/>
      <c r="G297" s="9"/>
      <c r="H297" s="16"/>
      <c r="I297" s="9"/>
      <c r="K297" s="3"/>
      <c r="U297" s="3"/>
      <c r="AE297" s="3"/>
      <c r="AO297" s="3"/>
    </row>
    <row r="298" ht="14.25" customHeight="1">
      <c r="C298" s="9"/>
      <c r="D298" s="9"/>
      <c r="E298" s="9"/>
      <c r="F298" s="9"/>
      <c r="G298" s="9"/>
      <c r="H298" s="16"/>
      <c r="I298" s="9"/>
      <c r="K298" s="3"/>
      <c r="U298" s="3"/>
      <c r="AE298" s="3"/>
      <c r="AO298" s="3"/>
    </row>
    <row r="299" ht="14.25" customHeight="1">
      <c r="C299" s="9"/>
      <c r="D299" s="9"/>
      <c r="E299" s="9"/>
      <c r="F299" s="9"/>
      <c r="G299" s="9"/>
      <c r="H299" s="16"/>
      <c r="I299" s="9"/>
      <c r="K299" s="3"/>
      <c r="U299" s="3"/>
      <c r="AE299" s="3"/>
      <c r="AO299" s="3"/>
    </row>
    <row r="300" ht="14.25" customHeight="1">
      <c r="C300" s="9"/>
      <c r="D300" s="9"/>
      <c r="E300" s="9"/>
      <c r="F300" s="9"/>
      <c r="G300" s="9"/>
      <c r="H300" s="16"/>
      <c r="I300" s="9"/>
      <c r="K300" s="3"/>
      <c r="U300" s="3"/>
      <c r="AE300" s="3"/>
      <c r="AO300" s="3"/>
    </row>
    <row r="301" ht="14.25" customHeight="1">
      <c r="C301" s="9"/>
      <c r="D301" s="9"/>
      <c r="E301" s="9"/>
      <c r="F301" s="9"/>
      <c r="G301" s="9"/>
      <c r="H301" s="16"/>
      <c r="I301" s="9"/>
      <c r="K301" s="3"/>
      <c r="U301" s="3"/>
      <c r="AE301" s="3"/>
      <c r="AO301" s="3"/>
    </row>
    <row r="302" ht="14.25" customHeight="1">
      <c r="C302" s="9"/>
      <c r="D302" s="9"/>
      <c r="E302" s="9"/>
      <c r="F302" s="9"/>
      <c r="G302" s="9"/>
      <c r="H302" s="16"/>
      <c r="I302" s="9"/>
      <c r="K302" s="3"/>
      <c r="U302" s="3"/>
      <c r="AE302" s="3"/>
      <c r="AO302" s="3"/>
    </row>
    <row r="303" ht="14.25" customHeight="1">
      <c r="C303" s="9"/>
      <c r="D303" s="9"/>
      <c r="E303" s="9"/>
      <c r="F303" s="9"/>
      <c r="G303" s="9"/>
      <c r="H303" s="16"/>
      <c r="I303" s="9"/>
      <c r="K303" s="3"/>
      <c r="U303" s="3"/>
      <c r="AE303" s="3"/>
      <c r="AO303" s="3"/>
    </row>
    <row r="304" ht="14.25" customHeight="1">
      <c r="C304" s="9"/>
      <c r="D304" s="9"/>
      <c r="E304" s="9"/>
      <c r="F304" s="9"/>
      <c r="G304" s="9"/>
      <c r="H304" s="16"/>
      <c r="I304" s="9"/>
      <c r="K304" s="3"/>
      <c r="U304" s="3"/>
      <c r="AE304" s="3"/>
      <c r="AO304" s="3"/>
    </row>
    <row r="305" ht="14.25" customHeight="1">
      <c r="C305" s="9"/>
      <c r="D305" s="9"/>
      <c r="E305" s="9"/>
      <c r="F305" s="9"/>
      <c r="G305" s="9"/>
      <c r="H305" s="16"/>
      <c r="I305" s="9"/>
      <c r="K305" s="3"/>
      <c r="U305" s="3"/>
      <c r="AE305" s="3"/>
      <c r="AO305" s="3"/>
    </row>
    <row r="306" ht="14.25" customHeight="1">
      <c r="C306" s="9"/>
      <c r="D306" s="9"/>
      <c r="E306" s="9"/>
      <c r="F306" s="9"/>
      <c r="G306" s="9"/>
      <c r="H306" s="16"/>
      <c r="I306" s="9"/>
      <c r="K306" s="3"/>
      <c r="U306" s="3"/>
      <c r="AE306" s="3"/>
      <c r="AO306" s="3"/>
    </row>
    <row r="307" ht="14.25" customHeight="1">
      <c r="C307" s="9"/>
      <c r="D307" s="9"/>
      <c r="E307" s="9"/>
      <c r="F307" s="9"/>
      <c r="G307" s="9"/>
      <c r="H307" s="16"/>
      <c r="I307" s="9"/>
      <c r="K307" s="3"/>
      <c r="U307" s="3"/>
      <c r="AE307" s="3"/>
      <c r="AO307" s="3"/>
    </row>
    <row r="308" ht="14.25" customHeight="1">
      <c r="C308" s="9"/>
      <c r="D308" s="9"/>
      <c r="E308" s="9"/>
      <c r="F308" s="9"/>
      <c r="G308" s="9"/>
      <c r="H308" s="16"/>
      <c r="I308" s="9"/>
      <c r="K308" s="3"/>
      <c r="U308" s="3"/>
      <c r="AE308" s="3"/>
      <c r="AO308" s="3"/>
    </row>
    <row r="309" ht="14.25" customHeight="1">
      <c r="C309" s="9"/>
      <c r="D309" s="9"/>
      <c r="E309" s="9"/>
      <c r="F309" s="9"/>
      <c r="G309" s="9"/>
      <c r="H309" s="16"/>
      <c r="I309" s="9"/>
      <c r="K309" s="3"/>
      <c r="U309" s="3"/>
      <c r="AE309" s="3"/>
      <c r="AO309" s="3"/>
    </row>
    <row r="310" ht="14.25" customHeight="1">
      <c r="C310" s="9"/>
      <c r="D310" s="9"/>
      <c r="E310" s="9"/>
      <c r="F310" s="9"/>
      <c r="G310" s="9"/>
      <c r="H310" s="16"/>
      <c r="I310" s="9"/>
      <c r="K310" s="3"/>
      <c r="U310" s="3"/>
      <c r="AE310" s="3"/>
      <c r="AO310" s="3"/>
    </row>
    <row r="311" ht="14.25" customHeight="1">
      <c r="C311" s="9"/>
      <c r="D311" s="9"/>
      <c r="E311" s="9"/>
      <c r="F311" s="9"/>
      <c r="G311" s="9"/>
      <c r="H311" s="16"/>
      <c r="I311" s="9"/>
      <c r="K311" s="3"/>
      <c r="U311" s="3"/>
      <c r="AE311" s="3"/>
      <c r="AO311" s="3"/>
    </row>
    <row r="312" ht="14.25" customHeight="1">
      <c r="C312" s="9"/>
      <c r="D312" s="9"/>
      <c r="E312" s="9"/>
      <c r="F312" s="9"/>
      <c r="G312" s="9"/>
      <c r="H312" s="16"/>
      <c r="I312" s="9"/>
      <c r="K312" s="3"/>
      <c r="U312" s="3"/>
      <c r="AE312" s="3"/>
      <c r="AO312" s="3"/>
    </row>
    <row r="313" ht="14.25" customHeight="1">
      <c r="C313" s="9"/>
      <c r="D313" s="9"/>
      <c r="E313" s="9"/>
      <c r="F313" s="9"/>
      <c r="G313" s="9"/>
      <c r="H313" s="16"/>
      <c r="I313" s="9"/>
      <c r="K313" s="3"/>
      <c r="U313" s="3"/>
      <c r="AE313" s="3"/>
      <c r="AO313" s="3"/>
    </row>
    <row r="314" ht="14.25" customHeight="1">
      <c r="C314" s="9"/>
      <c r="D314" s="9"/>
      <c r="E314" s="9"/>
      <c r="F314" s="9"/>
      <c r="G314" s="9"/>
      <c r="H314" s="16"/>
      <c r="I314" s="9"/>
      <c r="K314" s="3"/>
      <c r="U314" s="3"/>
      <c r="AE314" s="3"/>
      <c r="AO314" s="3"/>
    </row>
    <row r="315" ht="14.25" customHeight="1">
      <c r="C315" s="9"/>
      <c r="D315" s="9"/>
      <c r="E315" s="9"/>
      <c r="F315" s="9"/>
      <c r="G315" s="9"/>
      <c r="H315" s="16"/>
      <c r="I315" s="9"/>
      <c r="K315" s="3"/>
      <c r="U315" s="3"/>
      <c r="AE315" s="3"/>
      <c r="AO315" s="3"/>
    </row>
    <row r="316" ht="14.25" customHeight="1">
      <c r="C316" s="9"/>
      <c r="D316" s="9"/>
      <c r="E316" s="9"/>
      <c r="F316" s="9"/>
      <c r="G316" s="9"/>
      <c r="H316" s="16"/>
      <c r="I316" s="9"/>
      <c r="K316" s="3"/>
      <c r="U316" s="3"/>
      <c r="AE316" s="3"/>
      <c r="AO316" s="3"/>
    </row>
    <row r="317" ht="14.25" customHeight="1">
      <c r="C317" s="9"/>
      <c r="D317" s="9"/>
      <c r="E317" s="9"/>
      <c r="F317" s="9"/>
      <c r="G317" s="9"/>
      <c r="H317" s="16"/>
      <c r="I317" s="9"/>
      <c r="K317" s="3"/>
      <c r="U317" s="3"/>
      <c r="AE317" s="3"/>
      <c r="AO317" s="3"/>
    </row>
    <row r="318" ht="14.25" customHeight="1">
      <c r="C318" s="9"/>
      <c r="D318" s="9"/>
      <c r="E318" s="9"/>
      <c r="F318" s="9"/>
      <c r="G318" s="9"/>
      <c r="H318" s="16"/>
      <c r="I318" s="9"/>
      <c r="K318" s="3"/>
      <c r="U318" s="3"/>
      <c r="AE318" s="3"/>
      <c r="AO318" s="3"/>
    </row>
    <row r="319" ht="14.25" customHeight="1">
      <c r="C319" s="9"/>
      <c r="D319" s="9"/>
      <c r="E319" s="9"/>
      <c r="F319" s="9"/>
      <c r="G319" s="9"/>
      <c r="H319" s="16"/>
      <c r="I319" s="9"/>
      <c r="K319" s="3"/>
      <c r="U319" s="3"/>
      <c r="AE319" s="3"/>
      <c r="AO319" s="3"/>
    </row>
    <row r="320" ht="14.25" customHeight="1">
      <c r="C320" s="9"/>
      <c r="D320" s="9"/>
      <c r="E320" s="9"/>
      <c r="F320" s="9"/>
      <c r="G320" s="9"/>
      <c r="H320" s="16"/>
      <c r="I320" s="9"/>
      <c r="K320" s="3"/>
      <c r="U320" s="3"/>
      <c r="AE320" s="3"/>
      <c r="AO320" s="3"/>
    </row>
    <row r="321" ht="14.25" customHeight="1">
      <c r="C321" s="9"/>
      <c r="D321" s="9"/>
      <c r="E321" s="9"/>
      <c r="F321" s="9"/>
      <c r="G321" s="9"/>
      <c r="H321" s="16"/>
      <c r="I321" s="9"/>
      <c r="K321" s="3"/>
      <c r="U321" s="3"/>
      <c r="AE321" s="3"/>
      <c r="AO321" s="3"/>
    </row>
    <row r="322" ht="14.25" customHeight="1">
      <c r="C322" s="9"/>
      <c r="D322" s="9"/>
      <c r="E322" s="9"/>
      <c r="F322" s="9"/>
      <c r="G322" s="9"/>
      <c r="H322" s="16"/>
      <c r="I322" s="9"/>
      <c r="K322" s="3"/>
      <c r="U322" s="3"/>
      <c r="AE322" s="3"/>
      <c r="AO322" s="3"/>
    </row>
    <row r="323" ht="14.25" customHeight="1">
      <c r="C323" s="9"/>
      <c r="D323" s="9"/>
      <c r="E323" s="9"/>
      <c r="F323" s="9"/>
      <c r="G323" s="9"/>
      <c r="H323" s="16"/>
      <c r="I323" s="9"/>
      <c r="K323" s="3"/>
      <c r="U323" s="3"/>
      <c r="AE323" s="3"/>
      <c r="AO323" s="3"/>
    </row>
    <row r="324" ht="14.25" customHeight="1">
      <c r="C324" s="9"/>
      <c r="D324" s="9"/>
      <c r="E324" s="9"/>
      <c r="F324" s="9"/>
      <c r="G324" s="9"/>
      <c r="H324" s="16"/>
      <c r="I324" s="9"/>
      <c r="K324" s="3"/>
      <c r="U324" s="3"/>
      <c r="AE324" s="3"/>
      <c r="AO324" s="3"/>
    </row>
    <row r="325" ht="14.25" customHeight="1">
      <c r="C325" s="9"/>
      <c r="D325" s="9"/>
      <c r="E325" s="9"/>
      <c r="F325" s="9"/>
      <c r="G325" s="9"/>
      <c r="H325" s="16"/>
      <c r="I325" s="9"/>
      <c r="K325" s="3"/>
      <c r="U325" s="3"/>
      <c r="AE325" s="3"/>
      <c r="AO325" s="3"/>
    </row>
    <row r="326" ht="14.25" customHeight="1">
      <c r="C326" s="9"/>
      <c r="D326" s="9"/>
      <c r="E326" s="9"/>
      <c r="F326" s="9"/>
      <c r="G326" s="9"/>
      <c r="H326" s="16"/>
      <c r="I326" s="9"/>
      <c r="K326" s="3"/>
      <c r="U326" s="3"/>
      <c r="AE326" s="3"/>
      <c r="AO326" s="3"/>
    </row>
    <row r="327" ht="14.25" customHeight="1">
      <c r="C327" s="9"/>
      <c r="D327" s="9"/>
      <c r="E327" s="9"/>
      <c r="F327" s="9"/>
      <c r="G327" s="9"/>
      <c r="H327" s="16"/>
      <c r="I327" s="9"/>
      <c r="K327" s="3"/>
      <c r="U327" s="3"/>
      <c r="AE327" s="3"/>
      <c r="AO327" s="3"/>
    </row>
    <row r="328" ht="14.25" customHeight="1">
      <c r="C328" s="9"/>
      <c r="D328" s="9"/>
      <c r="E328" s="9"/>
      <c r="F328" s="9"/>
      <c r="G328" s="9"/>
      <c r="H328" s="16"/>
      <c r="I328" s="9"/>
      <c r="K328" s="3"/>
      <c r="U328" s="3"/>
      <c r="AE328" s="3"/>
      <c r="AO328" s="3"/>
    </row>
    <row r="329" ht="14.25" customHeight="1">
      <c r="C329" s="9"/>
      <c r="D329" s="9"/>
      <c r="E329" s="9"/>
      <c r="F329" s="9"/>
      <c r="G329" s="9"/>
      <c r="H329" s="16"/>
      <c r="I329" s="9"/>
      <c r="K329" s="3"/>
      <c r="U329" s="3"/>
      <c r="AE329" s="3"/>
      <c r="AO329" s="3"/>
    </row>
    <row r="330" ht="14.25" customHeight="1">
      <c r="C330" s="9"/>
      <c r="D330" s="9"/>
      <c r="E330" s="9"/>
      <c r="F330" s="9"/>
      <c r="G330" s="9"/>
      <c r="H330" s="16"/>
      <c r="I330" s="9"/>
      <c r="K330" s="3"/>
      <c r="U330" s="3"/>
      <c r="AE330" s="3"/>
      <c r="AO330" s="3"/>
    </row>
    <row r="331" ht="14.25" customHeight="1">
      <c r="C331" s="9"/>
      <c r="D331" s="9"/>
      <c r="E331" s="9"/>
      <c r="F331" s="9"/>
      <c r="G331" s="9"/>
      <c r="H331" s="16"/>
      <c r="I331" s="9"/>
      <c r="K331" s="3"/>
      <c r="U331" s="3"/>
      <c r="AE331" s="3"/>
      <c r="AO331" s="3"/>
    </row>
    <row r="332" ht="14.25" customHeight="1">
      <c r="C332" s="9"/>
      <c r="D332" s="9"/>
      <c r="E332" s="9"/>
      <c r="F332" s="9"/>
      <c r="G332" s="9"/>
      <c r="H332" s="16"/>
      <c r="I332" s="9"/>
      <c r="K332" s="3"/>
      <c r="U332" s="3"/>
      <c r="AE332" s="3"/>
      <c r="AO332" s="3"/>
    </row>
    <row r="333" ht="14.25" customHeight="1">
      <c r="C333" s="9"/>
      <c r="D333" s="9"/>
      <c r="E333" s="9"/>
      <c r="F333" s="9"/>
      <c r="G333" s="9"/>
      <c r="H333" s="16"/>
      <c r="I333" s="9"/>
      <c r="K333" s="3"/>
      <c r="U333" s="3"/>
      <c r="AE333" s="3"/>
      <c r="AO333" s="3"/>
    </row>
    <row r="334" ht="14.25" customHeight="1">
      <c r="C334" s="9"/>
      <c r="D334" s="9"/>
      <c r="E334" s="9"/>
      <c r="F334" s="9"/>
      <c r="G334" s="9"/>
      <c r="H334" s="16"/>
      <c r="I334" s="9"/>
      <c r="K334" s="3"/>
      <c r="U334" s="3"/>
      <c r="AE334" s="3"/>
      <c r="AO334" s="3"/>
    </row>
    <row r="335" ht="14.25" customHeight="1">
      <c r="C335" s="9"/>
      <c r="D335" s="9"/>
      <c r="E335" s="9"/>
      <c r="F335" s="9"/>
      <c r="G335" s="9"/>
      <c r="H335" s="16"/>
      <c r="I335" s="9"/>
      <c r="K335" s="3"/>
      <c r="U335" s="3"/>
      <c r="AE335" s="3"/>
      <c r="AO335" s="3"/>
    </row>
    <row r="336" ht="14.25" customHeight="1">
      <c r="C336" s="9"/>
      <c r="D336" s="9"/>
      <c r="E336" s="9"/>
      <c r="F336" s="9"/>
      <c r="G336" s="9"/>
      <c r="H336" s="16"/>
      <c r="I336" s="9"/>
      <c r="K336" s="3"/>
      <c r="U336" s="3"/>
      <c r="AE336" s="3"/>
      <c r="AO336" s="3"/>
    </row>
    <row r="337" ht="14.25" customHeight="1">
      <c r="C337" s="9"/>
      <c r="D337" s="9"/>
      <c r="E337" s="9"/>
      <c r="F337" s="9"/>
      <c r="G337" s="9"/>
      <c r="H337" s="16"/>
      <c r="I337" s="9"/>
      <c r="K337" s="3"/>
      <c r="U337" s="3"/>
      <c r="AE337" s="3"/>
      <c r="AO337" s="3"/>
    </row>
    <row r="338" ht="14.25" customHeight="1">
      <c r="C338" s="9"/>
      <c r="D338" s="9"/>
      <c r="E338" s="9"/>
      <c r="F338" s="9"/>
      <c r="G338" s="9"/>
      <c r="H338" s="16"/>
      <c r="I338" s="9"/>
      <c r="K338" s="3"/>
      <c r="U338" s="3"/>
      <c r="AE338" s="3"/>
      <c r="AO338" s="3"/>
    </row>
    <row r="339" ht="14.25" customHeight="1">
      <c r="C339" s="9"/>
      <c r="D339" s="9"/>
      <c r="E339" s="9"/>
      <c r="F339" s="9"/>
      <c r="G339" s="9"/>
      <c r="H339" s="16"/>
      <c r="I339" s="9"/>
      <c r="K339" s="3"/>
      <c r="U339" s="3"/>
      <c r="AE339" s="3"/>
      <c r="AO339" s="3"/>
    </row>
    <row r="340" ht="14.25" customHeight="1">
      <c r="C340" s="9"/>
      <c r="D340" s="9"/>
      <c r="E340" s="9"/>
      <c r="F340" s="9"/>
      <c r="G340" s="9"/>
      <c r="H340" s="16"/>
      <c r="I340" s="9"/>
      <c r="K340" s="3"/>
      <c r="U340" s="3"/>
      <c r="AE340" s="3"/>
      <c r="AO340" s="3"/>
    </row>
    <row r="341" ht="14.25" customHeight="1">
      <c r="C341" s="9"/>
      <c r="D341" s="9"/>
      <c r="E341" s="9"/>
      <c r="F341" s="9"/>
      <c r="G341" s="9"/>
      <c r="H341" s="16"/>
      <c r="I341" s="9"/>
      <c r="K341" s="3"/>
      <c r="U341" s="3"/>
      <c r="AE341" s="3"/>
      <c r="AO341" s="3"/>
    </row>
    <row r="342" ht="14.25" customHeight="1">
      <c r="C342" s="9"/>
      <c r="D342" s="9"/>
      <c r="E342" s="9"/>
      <c r="F342" s="9"/>
      <c r="G342" s="9"/>
      <c r="H342" s="16"/>
      <c r="I342" s="9"/>
      <c r="K342" s="3"/>
      <c r="U342" s="3"/>
      <c r="AE342" s="3"/>
      <c r="AO342" s="3"/>
    </row>
    <row r="343" ht="14.25" customHeight="1">
      <c r="C343" s="9"/>
      <c r="D343" s="9"/>
      <c r="E343" s="9"/>
      <c r="F343" s="9"/>
      <c r="G343" s="9"/>
      <c r="H343" s="16"/>
      <c r="I343" s="9"/>
      <c r="K343" s="3"/>
      <c r="U343" s="3"/>
      <c r="AE343" s="3"/>
      <c r="AO343" s="3"/>
    </row>
    <row r="344" ht="14.25" customHeight="1">
      <c r="C344" s="9"/>
      <c r="D344" s="9"/>
      <c r="E344" s="9"/>
      <c r="F344" s="9"/>
      <c r="G344" s="9"/>
      <c r="H344" s="16"/>
      <c r="I344" s="9"/>
      <c r="K344" s="3"/>
      <c r="U344" s="3"/>
      <c r="AE344" s="3"/>
      <c r="AO344" s="3"/>
    </row>
    <row r="345" ht="14.25" customHeight="1">
      <c r="C345" s="9"/>
      <c r="D345" s="9"/>
      <c r="E345" s="9"/>
      <c r="F345" s="9"/>
      <c r="G345" s="9"/>
      <c r="H345" s="16"/>
      <c r="I345" s="9"/>
      <c r="K345" s="3"/>
      <c r="U345" s="3"/>
      <c r="AE345" s="3"/>
      <c r="AO345" s="3"/>
    </row>
    <row r="346" ht="14.25" customHeight="1">
      <c r="C346" s="9"/>
      <c r="D346" s="9"/>
      <c r="E346" s="9"/>
      <c r="F346" s="9"/>
      <c r="G346" s="9"/>
      <c r="H346" s="16"/>
      <c r="I346" s="9"/>
      <c r="K346" s="3"/>
      <c r="U346" s="3"/>
      <c r="AE346" s="3"/>
      <c r="AO346" s="3"/>
    </row>
    <row r="347" ht="14.25" customHeight="1">
      <c r="C347" s="9"/>
      <c r="D347" s="9"/>
      <c r="E347" s="9"/>
      <c r="F347" s="9"/>
      <c r="G347" s="9"/>
      <c r="H347" s="16"/>
      <c r="I347" s="9"/>
      <c r="K347" s="3"/>
      <c r="U347" s="3"/>
      <c r="AE347" s="3"/>
      <c r="AO347" s="3"/>
    </row>
    <row r="348" ht="14.25" customHeight="1">
      <c r="C348" s="9"/>
      <c r="D348" s="9"/>
      <c r="E348" s="9"/>
      <c r="F348" s="9"/>
      <c r="G348" s="9"/>
      <c r="H348" s="16"/>
      <c r="I348" s="9"/>
      <c r="K348" s="3"/>
      <c r="U348" s="3"/>
      <c r="AE348" s="3"/>
      <c r="AO348" s="3"/>
    </row>
    <row r="349" ht="14.25" customHeight="1">
      <c r="C349" s="9"/>
      <c r="D349" s="9"/>
      <c r="E349" s="9"/>
      <c r="F349" s="9"/>
      <c r="G349" s="9"/>
      <c r="H349" s="16"/>
      <c r="I349" s="9"/>
      <c r="K349" s="3"/>
      <c r="U349" s="3"/>
      <c r="AE349" s="3"/>
      <c r="AO349" s="3"/>
    </row>
    <row r="350" ht="14.25" customHeight="1">
      <c r="C350" s="9"/>
      <c r="D350" s="9"/>
      <c r="E350" s="9"/>
      <c r="F350" s="9"/>
      <c r="G350" s="9"/>
      <c r="H350" s="16"/>
      <c r="I350" s="9"/>
      <c r="K350" s="3"/>
      <c r="U350" s="3"/>
      <c r="AE350" s="3"/>
      <c r="AO350" s="3"/>
    </row>
    <row r="351" ht="14.25" customHeight="1">
      <c r="C351" s="9"/>
      <c r="D351" s="9"/>
      <c r="E351" s="9"/>
      <c r="F351" s="9"/>
      <c r="G351" s="9"/>
      <c r="H351" s="16"/>
      <c r="I351" s="9"/>
      <c r="K351" s="3"/>
      <c r="U351" s="3"/>
      <c r="AE351" s="3"/>
      <c r="AO351" s="3"/>
    </row>
    <row r="352" ht="14.25" customHeight="1">
      <c r="C352" s="9"/>
      <c r="D352" s="9"/>
      <c r="E352" s="9"/>
      <c r="F352" s="9"/>
      <c r="G352" s="9"/>
      <c r="H352" s="16"/>
      <c r="I352" s="9"/>
      <c r="K352" s="3"/>
      <c r="U352" s="3"/>
      <c r="AE352" s="3"/>
      <c r="AO352" s="3"/>
    </row>
    <row r="353" ht="14.25" customHeight="1">
      <c r="C353" s="9"/>
      <c r="D353" s="9"/>
      <c r="E353" s="9"/>
      <c r="F353" s="9"/>
      <c r="G353" s="9"/>
      <c r="H353" s="16"/>
      <c r="I353" s="9"/>
      <c r="K353" s="3"/>
      <c r="U353" s="3"/>
      <c r="AE353" s="3"/>
      <c r="AO353" s="3"/>
    </row>
    <row r="354" ht="14.25" customHeight="1">
      <c r="C354" s="9"/>
      <c r="D354" s="9"/>
      <c r="E354" s="9"/>
      <c r="F354" s="9"/>
      <c r="G354" s="9"/>
      <c r="H354" s="16"/>
      <c r="I354" s="9"/>
      <c r="K354" s="3"/>
      <c r="U354" s="3"/>
      <c r="AE354" s="3"/>
      <c r="AO354" s="3"/>
    </row>
    <row r="355" ht="14.25" customHeight="1">
      <c r="C355" s="9"/>
      <c r="D355" s="9"/>
      <c r="E355" s="9"/>
      <c r="F355" s="9"/>
      <c r="G355" s="9"/>
      <c r="H355" s="16"/>
      <c r="I355" s="9"/>
      <c r="K355" s="3"/>
      <c r="U355" s="3"/>
      <c r="AE355" s="3"/>
      <c r="AO355" s="3"/>
    </row>
    <row r="356" ht="14.25" customHeight="1">
      <c r="C356" s="9"/>
      <c r="D356" s="9"/>
      <c r="E356" s="9"/>
      <c r="F356" s="9"/>
      <c r="G356" s="9"/>
      <c r="H356" s="16"/>
      <c r="I356" s="9"/>
      <c r="K356" s="3"/>
      <c r="U356" s="3"/>
      <c r="AE356" s="3"/>
      <c r="AO356" s="3"/>
    </row>
    <row r="357" ht="14.25" customHeight="1">
      <c r="C357" s="9"/>
      <c r="D357" s="9"/>
      <c r="E357" s="9"/>
      <c r="F357" s="9"/>
      <c r="G357" s="9"/>
      <c r="H357" s="16"/>
      <c r="I357" s="9"/>
      <c r="K357" s="3"/>
      <c r="U357" s="3"/>
      <c r="AE357" s="3"/>
      <c r="AO357" s="3"/>
    </row>
    <row r="358" ht="14.25" customHeight="1">
      <c r="C358" s="9"/>
      <c r="D358" s="9"/>
      <c r="E358" s="9"/>
      <c r="F358" s="9"/>
      <c r="G358" s="9"/>
      <c r="H358" s="16"/>
      <c r="I358" s="9"/>
      <c r="K358" s="3"/>
      <c r="U358" s="3"/>
      <c r="AE358" s="3"/>
      <c r="AO358" s="3"/>
    </row>
    <row r="359" ht="14.25" customHeight="1">
      <c r="C359" s="9"/>
      <c r="D359" s="9"/>
      <c r="E359" s="9"/>
      <c r="F359" s="9"/>
      <c r="G359" s="9"/>
      <c r="H359" s="16"/>
      <c r="I359" s="9"/>
      <c r="K359" s="3"/>
      <c r="U359" s="3"/>
      <c r="AE359" s="3"/>
      <c r="AO359" s="3"/>
    </row>
    <row r="360" ht="14.25" customHeight="1">
      <c r="C360" s="9"/>
      <c r="D360" s="9"/>
      <c r="E360" s="9"/>
      <c r="F360" s="9"/>
      <c r="G360" s="9"/>
      <c r="H360" s="16"/>
      <c r="I360" s="9"/>
      <c r="K360" s="3"/>
      <c r="U360" s="3"/>
      <c r="AE360" s="3"/>
      <c r="AO360" s="3"/>
    </row>
    <row r="361" ht="14.25" customHeight="1">
      <c r="C361" s="9"/>
      <c r="D361" s="9"/>
      <c r="E361" s="9"/>
      <c r="F361" s="9"/>
      <c r="G361" s="9"/>
      <c r="H361" s="16"/>
      <c r="I361" s="9"/>
      <c r="K361" s="3"/>
      <c r="U361" s="3"/>
      <c r="AE361" s="3"/>
      <c r="AO361" s="3"/>
    </row>
    <row r="362" ht="14.25" customHeight="1">
      <c r="C362" s="9"/>
      <c r="D362" s="9"/>
      <c r="E362" s="9"/>
      <c r="F362" s="9"/>
      <c r="G362" s="9"/>
      <c r="H362" s="16"/>
      <c r="I362" s="9"/>
      <c r="K362" s="3"/>
      <c r="U362" s="3"/>
      <c r="AE362" s="3"/>
      <c r="AO362" s="3"/>
    </row>
    <row r="363" ht="14.25" customHeight="1">
      <c r="C363" s="9"/>
      <c r="D363" s="9"/>
      <c r="E363" s="9"/>
      <c r="F363" s="9"/>
      <c r="G363" s="9"/>
      <c r="H363" s="16"/>
      <c r="I363" s="9"/>
      <c r="K363" s="3"/>
      <c r="U363" s="3"/>
      <c r="AE363" s="3"/>
      <c r="AO363" s="3"/>
    </row>
    <row r="364" ht="14.25" customHeight="1">
      <c r="C364" s="9"/>
      <c r="D364" s="9"/>
      <c r="E364" s="9"/>
      <c r="F364" s="9"/>
      <c r="G364" s="9"/>
      <c r="H364" s="16"/>
      <c r="I364" s="9"/>
      <c r="K364" s="3"/>
      <c r="U364" s="3"/>
      <c r="AE364" s="3"/>
      <c r="AO364" s="3"/>
    </row>
    <row r="365" ht="14.25" customHeight="1">
      <c r="C365" s="9"/>
      <c r="D365" s="9"/>
      <c r="E365" s="9"/>
      <c r="F365" s="9"/>
      <c r="G365" s="9"/>
      <c r="H365" s="16"/>
      <c r="I365" s="9"/>
      <c r="K365" s="3"/>
      <c r="U365" s="3"/>
      <c r="AE365" s="3"/>
      <c r="AO365" s="3"/>
    </row>
    <row r="366" ht="14.25" customHeight="1">
      <c r="C366" s="9"/>
      <c r="D366" s="9"/>
      <c r="E366" s="9"/>
      <c r="F366" s="9"/>
      <c r="G366" s="9"/>
      <c r="H366" s="16"/>
      <c r="I366" s="9"/>
      <c r="K366" s="3"/>
      <c r="U366" s="3"/>
      <c r="AE366" s="3"/>
      <c r="AO366" s="3"/>
    </row>
    <row r="367" ht="14.25" customHeight="1">
      <c r="C367" s="9"/>
      <c r="D367" s="9"/>
      <c r="E367" s="9"/>
      <c r="F367" s="9"/>
      <c r="G367" s="9"/>
      <c r="H367" s="16"/>
      <c r="I367" s="9"/>
      <c r="K367" s="3"/>
      <c r="U367" s="3"/>
      <c r="AE367" s="3"/>
      <c r="AO367" s="3"/>
    </row>
    <row r="368" ht="14.25" customHeight="1">
      <c r="C368" s="9"/>
      <c r="D368" s="9"/>
      <c r="E368" s="9"/>
      <c r="F368" s="9"/>
      <c r="G368" s="9"/>
      <c r="H368" s="16"/>
      <c r="I368" s="9"/>
      <c r="K368" s="3"/>
      <c r="U368" s="3"/>
      <c r="AE368" s="3"/>
      <c r="AO368" s="3"/>
    </row>
    <row r="369" ht="14.25" customHeight="1">
      <c r="C369" s="9"/>
      <c r="D369" s="9"/>
      <c r="E369" s="9"/>
      <c r="F369" s="9"/>
      <c r="G369" s="9"/>
      <c r="H369" s="16"/>
      <c r="I369" s="9"/>
      <c r="K369" s="3"/>
      <c r="U369" s="3"/>
      <c r="AE369" s="3"/>
      <c r="AO369" s="3"/>
    </row>
    <row r="370" ht="14.25" customHeight="1">
      <c r="C370" s="9"/>
      <c r="D370" s="9"/>
      <c r="E370" s="9"/>
      <c r="F370" s="9"/>
      <c r="G370" s="9"/>
      <c r="H370" s="16"/>
      <c r="I370" s="9"/>
      <c r="K370" s="3"/>
      <c r="U370" s="3"/>
      <c r="AE370" s="3"/>
      <c r="AO370" s="3"/>
    </row>
    <row r="371" ht="14.25" customHeight="1">
      <c r="C371" s="9"/>
      <c r="D371" s="9"/>
      <c r="E371" s="9"/>
      <c r="F371" s="9"/>
      <c r="G371" s="9"/>
      <c r="H371" s="16"/>
      <c r="I371" s="9"/>
      <c r="K371" s="3"/>
      <c r="U371" s="3"/>
      <c r="AE371" s="3"/>
      <c r="AO371" s="3"/>
    </row>
    <row r="372" ht="14.25" customHeight="1">
      <c r="C372" s="9"/>
      <c r="D372" s="9"/>
      <c r="E372" s="9"/>
      <c r="F372" s="9"/>
      <c r="G372" s="9"/>
      <c r="H372" s="16"/>
      <c r="I372" s="9"/>
      <c r="K372" s="3"/>
      <c r="U372" s="3"/>
      <c r="AE372" s="3"/>
      <c r="AO372" s="3"/>
    </row>
    <row r="373" ht="14.25" customHeight="1">
      <c r="C373" s="9"/>
      <c r="D373" s="9"/>
      <c r="E373" s="9"/>
      <c r="F373" s="9"/>
      <c r="G373" s="9"/>
      <c r="H373" s="16"/>
      <c r="I373" s="9"/>
      <c r="K373" s="3"/>
      <c r="U373" s="3"/>
      <c r="AE373" s="3"/>
      <c r="AO373" s="3"/>
    </row>
    <row r="374" ht="14.25" customHeight="1">
      <c r="C374" s="9"/>
      <c r="D374" s="9"/>
      <c r="E374" s="9"/>
      <c r="F374" s="9"/>
      <c r="G374" s="9"/>
      <c r="H374" s="16"/>
      <c r="I374" s="9"/>
      <c r="K374" s="3"/>
      <c r="U374" s="3"/>
      <c r="AE374" s="3"/>
      <c r="AO374" s="3"/>
    </row>
    <row r="375" ht="14.25" customHeight="1">
      <c r="C375" s="9"/>
      <c r="D375" s="9"/>
      <c r="E375" s="9"/>
      <c r="F375" s="9"/>
      <c r="G375" s="9"/>
      <c r="H375" s="16"/>
      <c r="I375" s="9"/>
      <c r="K375" s="3"/>
      <c r="U375" s="3"/>
      <c r="AE375" s="3"/>
      <c r="AO375" s="3"/>
    </row>
    <row r="376" ht="14.25" customHeight="1">
      <c r="C376" s="9"/>
      <c r="D376" s="9"/>
      <c r="E376" s="9"/>
      <c r="F376" s="9"/>
      <c r="G376" s="9"/>
      <c r="H376" s="16"/>
      <c r="I376" s="9"/>
      <c r="K376" s="3"/>
      <c r="U376" s="3"/>
      <c r="AE376" s="3"/>
      <c r="AO376" s="3"/>
    </row>
    <row r="377" ht="14.25" customHeight="1">
      <c r="C377" s="9"/>
      <c r="D377" s="9"/>
      <c r="E377" s="9"/>
      <c r="F377" s="9"/>
      <c r="G377" s="9"/>
      <c r="H377" s="16"/>
      <c r="I377" s="9"/>
      <c r="K377" s="3"/>
      <c r="U377" s="3"/>
      <c r="AE377" s="3"/>
      <c r="AO377" s="3"/>
    </row>
    <row r="378" ht="14.25" customHeight="1">
      <c r="C378" s="9"/>
      <c r="D378" s="9"/>
      <c r="E378" s="9"/>
      <c r="F378" s="9"/>
      <c r="G378" s="9"/>
      <c r="H378" s="16"/>
      <c r="I378" s="9"/>
      <c r="K378" s="3"/>
      <c r="U378" s="3"/>
      <c r="AE378" s="3"/>
      <c r="AO378" s="3"/>
    </row>
    <row r="379" ht="14.25" customHeight="1">
      <c r="C379" s="9"/>
      <c r="D379" s="9"/>
      <c r="E379" s="9"/>
      <c r="F379" s="9"/>
      <c r="G379" s="9"/>
      <c r="H379" s="16"/>
      <c r="I379" s="9"/>
      <c r="K379" s="3"/>
      <c r="U379" s="3"/>
      <c r="AE379" s="3"/>
      <c r="AO379" s="3"/>
    </row>
    <row r="380" ht="14.25" customHeight="1">
      <c r="C380" s="9"/>
      <c r="D380" s="9"/>
      <c r="E380" s="9"/>
      <c r="F380" s="9"/>
      <c r="G380" s="9"/>
      <c r="H380" s="16"/>
      <c r="I380" s="9"/>
      <c r="K380" s="3"/>
      <c r="U380" s="3"/>
      <c r="AE380" s="3"/>
      <c r="AO380" s="3"/>
    </row>
    <row r="381" ht="14.25" customHeight="1">
      <c r="C381" s="9"/>
      <c r="D381" s="9"/>
      <c r="E381" s="9"/>
      <c r="F381" s="9"/>
      <c r="G381" s="9"/>
      <c r="H381" s="16"/>
      <c r="I381" s="9"/>
      <c r="K381" s="3"/>
      <c r="U381" s="3"/>
      <c r="AE381" s="3"/>
      <c r="AO381" s="3"/>
    </row>
    <row r="382" ht="14.25" customHeight="1">
      <c r="C382" s="9"/>
      <c r="D382" s="9"/>
      <c r="E382" s="9"/>
      <c r="F382" s="9"/>
      <c r="G382" s="9"/>
      <c r="H382" s="16"/>
      <c r="I382" s="9"/>
      <c r="K382" s="3"/>
      <c r="U382" s="3"/>
      <c r="AE382" s="3"/>
      <c r="AO382" s="3"/>
    </row>
    <row r="383" ht="14.25" customHeight="1">
      <c r="C383" s="9"/>
      <c r="D383" s="9"/>
      <c r="E383" s="9"/>
      <c r="F383" s="9"/>
      <c r="G383" s="9"/>
      <c r="H383" s="16"/>
      <c r="I383" s="9"/>
      <c r="K383" s="3"/>
      <c r="U383" s="3"/>
      <c r="AE383" s="3"/>
      <c r="AO383" s="3"/>
    </row>
    <row r="384" ht="14.25" customHeight="1">
      <c r="C384" s="9"/>
      <c r="D384" s="9"/>
      <c r="E384" s="9"/>
      <c r="F384" s="9"/>
      <c r="G384" s="9"/>
      <c r="H384" s="16"/>
      <c r="I384" s="9"/>
      <c r="K384" s="3"/>
      <c r="U384" s="3"/>
      <c r="AE384" s="3"/>
      <c r="AO384" s="3"/>
    </row>
    <row r="385" ht="14.25" customHeight="1">
      <c r="C385" s="9"/>
      <c r="D385" s="9"/>
      <c r="E385" s="9"/>
      <c r="F385" s="9"/>
      <c r="G385" s="9"/>
      <c r="H385" s="16"/>
      <c r="I385" s="9"/>
      <c r="K385" s="3"/>
      <c r="U385" s="3"/>
      <c r="AE385" s="3"/>
      <c r="AO385" s="3"/>
    </row>
    <row r="386" ht="14.25" customHeight="1">
      <c r="C386" s="9"/>
      <c r="D386" s="9"/>
      <c r="E386" s="9"/>
      <c r="F386" s="9"/>
      <c r="G386" s="9"/>
      <c r="H386" s="16"/>
      <c r="I386" s="9"/>
      <c r="K386" s="3"/>
      <c r="U386" s="3"/>
      <c r="AE386" s="3"/>
      <c r="AO386" s="3"/>
    </row>
    <row r="387" ht="14.25" customHeight="1">
      <c r="C387" s="9"/>
      <c r="D387" s="9"/>
      <c r="E387" s="9"/>
      <c r="F387" s="9"/>
      <c r="G387" s="9"/>
      <c r="H387" s="16"/>
      <c r="I387" s="9"/>
      <c r="K387" s="3"/>
      <c r="U387" s="3"/>
      <c r="AE387" s="3"/>
      <c r="AO387" s="3"/>
    </row>
    <row r="388" ht="14.25" customHeight="1">
      <c r="C388" s="9"/>
      <c r="D388" s="9"/>
      <c r="E388" s="9"/>
      <c r="F388" s="9"/>
      <c r="G388" s="9"/>
      <c r="H388" s="16"/>
      <c r="I388" s="9"/>
      <c r="K388" s="3"/>
      <c r="U388" s="3"/>
      <c r="AE388" s="3"/>
      <c r="AO388" s="3"/>
    </row>
    <row r="389" ht="14.25" customHeight="1">
      <c r="C389" s="9"/>
      <c r="D389" s="9"/>
      <c r="E389" s="9"/>
      <c r="F389" s="9"/>
      <c r="G389" s="9"/>
      <c r="H389" s="16"/>
      <c r="I389" s="9"/>
      <c r="K389" s="3"/>
      <c r="U389" s="3"/>
      <c r="AE389" s="3"/>
      <c r="AO389" s="3"/>
    </row>
    <row r="390" ht="14.25" customHeight="1">
      <c r="C390" s="9"/>
      <c r="D390" s="9"/>
      <c r="E390" s="9"/>
      <c r="F390" s="9"/>
      <c r="G390" s="9"/>
      <c r="H390" s="16"/>
      <c r="I390" s="9"/>
      <c r="K390" s="3"/>
      <c r="U390" s="3"/>
      <c r="AE390" s="3"/>
      <c r="AO390" s="3"/>
    </row>
    <row r="391" ht="14.25" customHeight="1">
      <c r="C391" s="9"/>
      <c r="D391" s="9"/>
      <c r="E391" s="9"/>
      <c r="F391" s="9"/>
      <c r="G391" s="9"/>
      <c r="H391" s="16"/>
      <c r="I391" s="9"/>
      <c r="K391" s="3"/>
      <c r="U391" s="3"/>
      <c r="AE391" s="3"/>
      <c r="AO391" s="3"/>
    </row>
    <row r="392" ht="14.25" customHeight="1">
      <c r="C392" s="9"/>
      <c r="D392" s="9"/>
      <c r="E392" s="9"/>
      <c r="F392" s="9"/>
      <c r="G392" s="9"/>
      <c r="H392" s="16"/>
      <c r="I392" s="9"/>
      <c r="K392" s="3"/>
      <c r="U392" s="3"/>
      <c r="AE392" s="3"/>
      <c r="AO392" s="3"/>
    </row>
    <row r="393" ht="14.25" customHeight="1">
      <c r="C393" s="9"/>
      <c r="D393" s="9"/>
      <c r="E393" s="9"/>
      <c r="F393" s="9"/>
      <c r="G393" s="9"/>
      <c r="H393" s="16"/>
      <c r="I393" s="9"/>
      <c r="K393" s="3"/>
      <c r="U393" s="3"/>
      <c r="AE393" s="3"/>
      <c r="AO393" s="3"/>
    </row>
    <row r="394" ht="14.25" customHeight="1">
      <c r="C394" s="9"/>
      <c r="D394" s="9"/>
      <c r="E394" s="9"/>
      <c r="F394" s="9"/>
      <c r="G394" s="9"/>
      <c r="H394" s="16"/>
      <c r="I394" s="9"/>
      <c r="K394" s="3"/>
      <c r="U394" s="3"/>
      <c r="AE394" s="3"/>
      <c r="AO394" s="3"/>
    </row>
    <row r="395" ht="14.25" customHeight="1">
      <c r="C395" s="9"/>
      <c r="D395" s="9"/>
      <c r="E395" s="9"/>
      <c r="F395" s="9"/>
      <c r="G395" s="9"/>
      <c r="H395" s="16"/>
      <c r="I395" s="9"/>
      <c r="K395" s="3"/>
      <c r="U395" s="3"/>
      <c r="AE395" s="3"/>
      <c r="AO395" s="3"/>
    </row>
    <row r="396" ht="14.25" customHeight="1">
      <c r="C396" s="9"/>
      <c r="D396" s="9"/>
      <c r="E396" s="9"/>
      <c r="F396" s="9"/>
      <c r="G396" s="9"/>
      <c r="H396" s="16"/>
      <c r="I396" s="9"/>
      <c r="K396" s="3"/>
      <c r="U396" s="3"/>
      <c r="AE396" s="3"/>
      <c r="AO396" s="3"/>
    </row>
    <row r="397" ht="14.25" customHeight="1">
      <c r="C397" s="9"/>
      <c r="D397" s="9"/>
      <c r="E397" s="9"/>
      <c r="F397" s="9"/>
      <c r="G397" s="9"/>
      <c r="H397" s="16"/>
      <c r="I397" s="9"/>
      <c r="K397" s="3"/>
      <c r="U397" s="3"/>
      <c r="AE397" s="3"/>
      <c r="AO397" s="3"/>
    </row>
    <row r="398" ht="14.25" customHeight="1">
      <c r="C398" s="9"/>
      <c r="D398" s="9"/>
      <c r="E398" s="9"/>
      <c r="F398" s="9"/>
      <c r="G398" s="9"/>
      <c r="H398" s="16"/>
      <c r="I398" s="9"/>
      <c r="K398" s="3"/>
      <c r="U398" s="3"/>
      <c r="AE398" s="3"/>
      <c r="AO398" s="3"/>
    </row>
    <row r="399" ht="14.25" customHeight="1">
      <c r="C399" s="9"/>
      <c r="D399" s="9"/>
      <c r="E399" s="9"/>
      <c r="F399" s="9"/>
      <c r="G399" s="9"/>
      <c r="H399" s="16"/>
      <c r="I399" s="9"/>
      <c r="K399" s="3"/>
      <c r="U399" s="3"/>
      <c r="AE399" s="3"/>
      <c r="AO399" s="3"/>
    </row>
    <row r="400" ht="14.25" customHeight="1">
      <c r="C400" s="9"/>
      <c r="D400" s="9"/>
      <c r="E400" s="9"/>
      <c r="F400" s="9"/>
      <c r="G400" s="9"/>
      <c r="H400" s="16"/>
      <c r="I400" s="9"/>
      <c r="K400" s="3"/>
      <c r="U400" s="3"/>
      <c r="AE400" s="3"/>
      <c r="AO400" s="3"/>
    </row>
    <row r="401" ht="14.25" customHeight="1">
      <c r="C401" s="9"/>
      <c r="D401" s="9"/>
      <c r="E401" s="9"/>
      <c r="F401" s="9"/>
      <c r="G401" s="9"/>
      <c r="H401" s="16"/>
      <c r="I401" s="9"/>
      <c r="K401" s="3"/>
      <c r="U401" s="3"/>
      <c r="AE401" s="3"/>
      <c r="AO401" s="3"/>
    </row>
    <row r="402" ht="14.25" customHeight="1">
      <c r="C402" s="9"/>
      <c r="D402" s="9"/>
      <c r="E402" s="9"/>
      <c r="F402" s="9"/>
      <c r="G402" s="9"/>
      <c r="H402" s="16"/>
      <c r="I402" s="9"/>
      <c r="K402" s="3"/>
      <c r="U402" s="3"/>
      <c r="AE402" s="3"/>
      <c r="AO402" s="3"/>
    </row>
    <row r="403" ht="14.25" customHeight="1">
      <c r="C403" s="9"/>
      <c r="D403" s="9"/>
      <c r="E403" s="9"/>
      <c r="F403" s="9"/>
      <c r="G403" s="9"/>
      <c r="H403" s="16"/>
      <c r="I403" s="9"/>
      <c r="K403" s="3"/>
      <c r="U403" s="3"/>
      <c r="AE403" s="3"/>
      <c r="AO403" s="3"/>
    </row>
    <row r="404" ht="14.25" customHeight="1">
      <c r="C404" s="9"/>
      <c r="D404" s="9"/>
      <c r="E404" s="9"/>
      <c r="F404" s="9"/>
      <c r="G404" s="9"/>
      <c r="H404" s="16"/>
      <c r="I404" s="9"/>
      <c r="K404" s="3"/>
      <c r="U404" s="3"/>
      <c r="AE404" s="3"/>
      <c r="AO404" s="3"/>
    </row>
    <row r="405" ht="14.25" customHeight="1">
      <c r="C405" s="9"/>
      <c r="D405" s="9"/>
      <c r="E405" s="9"/>
      <c r="F405" s="9"/>
      <c r="G405" s="9"/>
      <c r="H405" s="16"/>
      <c r="I405" s="9"/>
      <c r="K405" s="3"/>
      <c r="U405" s="3"/>
      <c r="AE405" s="3"/>
      <c r="AO405" s="3"/>
    </row>
    <row r="406" ht="14.25" customHeight="1">
      <c r="C406" s="9"/>
      <c r="D406" s="9"/>
      <c r="E406" s="9"/>
      <c r="F406" s="9"/>
      <c r="G406" s="9"/>
      <c r="H406" s="16"/>
      <c r="I406" s="9"/>
      <c r="K406" s="3"/>
      <c r="U406" s="3"/>
      <c r="AE406" s="3"/>
      <c r="AO406" s="3"/>
    </row>
    <row r="407" ht="14.25" customHeight="1">
      <c r="C407" s="9"/>
      <c r="D407" s="9"/>
      <c r="E407" s="9"/>
      <c r="F407" s="9"/>
      <c r="G407" s="9"/>
      <c r="H407" s="16"/>
      <c r="I407" s="9"/>
      <c r="K407" s="3"/>
      <c r="U407" s="3"/>
      <c r="AE407" s="3"/>
      <c r="AO407" s="3"/>
    </row>
    <row r="408" ht="14.25" customHeight="1">
      <c r="C408" s="9"/>
      <c r="D408" s="9"/>
      <c r="E408" s="9"/>
      <c r="F408" s="9"/>
      <c r="G408" s="9"/>
      <c r="H408" s="16"/>
      <c r="I408" s="9"/>
      <c r="K408" s="3"/>
      <c r="U408" s="3"/>
      <c r="AE408" s="3"/>
      <c r="AO408" s="3"/>
    </row>
    <row r="409" ht="14.25" customHeight="1">
      <c r="C409" s="9"/>
      <c r="D409" s="9"/>
      <c r="E409" s="9"/>
      <c r="F409" s="9"/>
      <c r="G409" s="9"/>
      <c r="H409" s="16"/>
      <c r="I409" s="9"/>
      <c r="K409" s="3"/>
      <c r="U409" s="3"/>
      <c r="AE409" s="3"/>
      <c r="AO409" s="3"/>
    </row>
    <row r="410" ht="14.25" customHeight="1">
      <c r="C410" s="9"/>
      <c r="D410" s="9"/>
      <c r="E410" s="9"/>
      <c r="F410" s="9"/>
      <c r="G410" s="9"/>
      <c r="H410" s="16"/>
      <c r="I410" s="9"/>
      <c r="K410" s="3"/>
      <c r="U410" s="3"/>
      <c r="AE410" s="3"/>
      <c r="AO410" s="3"/>
    </row>
    <row r="411" ht="14.25" customHeight="1">
      <c r="C411" s="9"/>
      <c r="D411" s="9"/>
      <c r="E411" s="9"/>
      <c r="F411" s="9"/>
      <c r="G411" s="9"/>
      <c r="H411" s="16"/>
      <c r="I411" s="9"/>
      <c r="K411" s="3"/>
      <c r="U411" s="3"/>
      <c r="AE411" s="3"/>
      <c r="AO411" s="3"/>
    </row>
    <row r="412" ht="14.25" customHeight="1">
      <c r="C412" s="9"/>
      <c r="D412" s="9"/>
      <c r="E412" s="9"/>
      <c r="F412" s="9"/>
      <c r="G412" s="9"/>
      <c r="H412" s="16"/>
      <c r="I412" s="9"/>
      <c r="K412" s="3"/>
      <c r="U412" s="3"/>
      <c r="AE412" s="3"/>
      <c r="AO412" s="3"/>
    </row>
    <row r="413" ht="14.25" customHeight="1">
      <c r="C413" s="9"/>
      <c r="D413" s="9"/>
      <c r="E413" s="9"/>
      <c r="F413" s="9"/>
      <c r="G413" s="9"/>
      <c r="H413" s="16"/>
      <c r="I413" s="9"/>
      <c r="K413" s="3"/>
      <c r="U413" s="3"/>
      <c r="AE413" s="3"/>
      <c r="AO413" s="3"/>
    </row>
    <row r="414" ht="14.25" customHeight="1">
      <c r="C414" s="9"/>
      <c r="D414" s="9"/>
      <c r="E414" s="9"/>
      <c r="F414" s="9"/>
      <c r="G414" s="9"/>
      <c r="H414" s="16"/>
      <c r="I414" s="9"/>
      <c r="K414" s="3"/>
      <c r="U414" s="3"/>
      <c r="AE414" s="3"/>
      <c r="AO414" s="3"/>
    </row>
    <row r="415" ht="14.25" customHeight="1">
      <c r="C415" s="9"/>
      <c r="D415" s="9"/>
      <c r="E415" s="9"/>
      <c r="F415" s="9"/>
      <c r="G415" s="9"/>
      <c r="H415" s="16"/>
      <c r="I415" s="9"/>
      <c r="K415" s="3"/>
      <c r="U415" s="3"/>
      <c r="AE415" s="3"/>
      <c r="AO415" s="3"/>
    </row>
    <row r="416" ht="14.25" customHeight="1">
      <c r="C416" s="9"/>
      <c r="D416" s="9"/>
      <c r="E416" s="9"/>
      <c r="F416" s="9"/>
      <c r="G416" s="9"/>
      <c r="H416" s="16"/>
      <c r="I416" s="9"/>
      <c r="K416" s="3"/>
      <c r="U416" s="3"/>
      <c r="AE416" s="3"/>
      <c r="AO416" s="3"/>
    </row>
    <row r="417" ht="14.25" customHeight="1">
      <c r="C417" s="9"/>
      <c r="D417" s="9"/>
      <c r="E417" s="9"/>
      <c r="F417" s="9"/>
      <c r="G417" s="9"/>
      <c r="H417" s="16"/>
      <c r="I417" s="9"/>
      <c r="K417" s="3"/>
      <c r="U417" s="3"/>
      <c r="AE417" s="3"/>
      <c r="AO417" s="3"/>
    </row>
    <row r="418" ht="14.25" customHeight="1">
      <c r="C418" s="9"/>
      <c r="D418" s="9"/>
      <c r="E418" s="9"/>
      <c r="F418" s="9"/>
      <c r="G418" s="9"/>
      <c r="H418" s="16"/>
      <c r="I418" s="9"/>
      <c r="K418" s="3"/>
      <c r="U418" s="3"/>
      <c r="AE418" s="3"/>
      <c r="AO418" s="3"/>
    </row>
    <row r="419" ht="14.25" customHeight="1">
      <c r="C419" s="9"/>
      <c r="D419" s="9"/>
      <c r="E419" s="9"/>
      <c r="F419" s="9"/>
      <c r="G419" s="9"/>
      <c r="H419" s="16"/>
      <c r="I419" s="9"/>
      <c r="K419" s="3"/>
      <c r="U419" s="3"/>
      <c r="AE419" s="3"/>
      <c r="AO419" s="3"/>
    </row>
    <row r="420" ht="14.25" customHeight="1">
      <c r="C420" s="9"/>
      <c r="D420" s="9"/>
      <c r="E420" s="9"/>
      <c r="F420" s="9"/>
      <c r="G420" s="9"/>
      <c r="H420" s="16"/>
      <c r="I420" s="9"/>
      <c r="K420" s="3"/>
      <c r="U420" s="3"/>
      <c r="AE420" s="3"/>
      <c r="AO420" s="3"/>
    </row>
    <row r="421" ht="14.25" customHeight="1">
      <c r="C421" s="9"/>
      <c r="D421" s="9"/>
      <c r="E421" s="9"/>
      <c r="F421" s="9"/>
      <c r="G421" s="9"/>
      <c r="H421" s="16"/>
      <c r="I421" s="9"/>
      <c r="K421" s="3"/>
      <c r="U421" s="3"/>
      <c r="AE421" s="3"/>
      <c r="AO421" s="3"/>
    </row>
    <row r="422" ht="14.25" customHeight="1">
      <c r="C422" s="9"/>
      <c r="D422" s="9"/>
      <c r="E422" s="9"/>
      <c r="F422" s="9"/>
      <c r="G422" s="9"/>
      <c r="H422" s="16"/>
      <c r="I422" s="9"/>
      <c r="K422" s="3"/>
      <c r="U422" s="3"/>
      <c r="AE422" s="3"/>
      <c r="AO422" s="3"/>
    </row>
    <row r="423" ht="14.25" customHeight="1">
      <c r="C423" s="9"/>
      <c r="D423" s="9"/>
      <c r="E423" s="9"/>
      <c r="F423" s="9"/>
      <c r="G423" s="9"/>
      <c r="H423" s="16"/>
      <c r="I423" s="9"/>
      <c r="K423" s="3"/>
      <c r="U423" s="3"/>
      <c r="AE423" s="3"/>
      <c r="AO423" s="3"/>
    </row>
    <row r="424" ht="14.25" customHeight="1">
      <c r="C424" s="9"/>
      <c r="D424" s="9"/>
      <c r="E424" s="9"/>
      <c r="F424" s="9"/>
      <c r="G424" s="9"/>
      <c r="H424" s="16"/>
      <c r="I424" s="9"/>
      <c r="K424" s="3"/>
      <c r="U424" s="3"/>
      <c r="AE424" s="3"/>
      <c r="AO424" s="3"/>
    </row>
    <row r="425" ht="14.25" customHeight="1">
      <c r="C425" s="9"/>
      <c r="D425" s="9"/>
      <c r="E425" s="9"/>
      <c r="F425" s="9"/>
      <c r="G425" s="9"/>
      <c r="H425" s="16"/>
      <c r="I425" s="9"/>
      <c r="K425" s="3"/>
      <c r="U425" s="3"/>
      <c r="AE425" s="3"/>
      <c r="AO425" s="3"/>
    </row>
    <row r="426" ht="14.25" customHeight="1">
      <c r="C426" s="9"/>
      <c r="D426" s="9"/>
      <c r="E426" s="9"/>
      <c r="F426" s="9"/>
      <c r="G426" s="9"/>
      <c r="H426" s="16"/>
      <c r="I426" s="9"/>
      <c r="K426" s="3"/>
      <c r="U426" s="3"/>
      <c r="AE426" s="3"/>
      <c r="AO426" s="3"/>
    </row>
    <row r="427" ht="14.25" customHeight="1">
      <c r="C427" s="9"/>
      <c r="D427" s="9"/>
      <c r="E427" s="9"/>
      <c r="F427" s="9"/>
      <c r="G427" s="9"/>
      <c r="H427" s="16"/>
      <c r="I427" s="9"/>
      <c r="K427" s="3"/>
      <c r="U427" s="3"/>
      <c r="AE427" s="3"/>
      <c r="AO427" s="3"/>
    </row>
    <row r="428" ht="14.25" customHeight="1">
      <c r="C428" s="9"/>
      <c r="D428" s="9"/>
      <c r="E428" s="9"/>
      <c r="F428" s="9"/>
      <c r="G428" s="9"/>
      <c r="H428" s="16"/>
      <c r="I428" s="9"/>
      <c r="K428" s="3"/>
      <c r="U428" s="3"/>
      <c r="AE428" s="3"/>
      <c r="AO428" s="3"/>
    </row>
    <row r="429" ht="14.25" customHeight="1">
      <c r="C429" s="9"/>
      <c r="D429" s="9"/>
      <c r="E429" s="9"/>
      <c r="F429" s="9"/>
      <c r="G429" s="9"/>
      <c r="H429" s="16"/>
      <c r="I429" s="9"/>
      <c r="K429" s="3"/>
      <c r="U429" s="3"/>
      <c r="AE429" s="3"/>
      <c r="AO429" s="3"/>
    </row>
    <row r="430" ht="14.25" customHeight="1">
      <c r="C430" s="9"/>
      <c r="D430" s="9"/>
      <c r="E430" s="9"/>
      <c r="F430" s="9"/>
      <c r="G430" s="9"/>
      <c r="H430" s="16"/>
      <c r="I430" s="9"/>
      <c r="K430" s="3"/>
      <c r="U430" s="3"/>
      <c r="AE430" s="3"/>
      <c r="AO430" s="3"/>
    </row>
    <row r="431" ht="14.25" customHeight="1">
      <c r="C431" s="9"/>
      <c r="D431" s="9"/>
      <c r="E431" s="9"/>
      <c r="F431" s="9"/>
      <c r="G431" s="9"/>
      <c r="H431" s="16"/>
      <c r="I431" s="9"/>
      <c r="K431" s="3"/>
      <c r="U431" s="3"/>
      <c r="AE431" s="3"/>
      <c r="AO431" s="3"/>
    </row>
    <row r="432" ht="14.25" customHeight="1">
      <c r="C432" s="9"/>
      <c r="D432" s="9"/>
      <c r="E432" s="9"/>
      <c r="F432" s="9"/>
      <c r="G432" s="9"/>
      <c r="H432" s="16"/>
      <c r="I432" s="9"/>
      <c r="K432" s="3"/>
      <c r="U432" s="3"/>
      <c r="AE432" s="3"/>
      <c r="AO432" s="3"/>
    </row>
    <row r="433" ht="14.25" customHeight="1">
      <c r="C433" s="9"/>
      <c r="D433" s="9"/>
      <c r="E433" s="9"/>
      <c r="F433" s="9"/>
      <c r="G433" s="9"/>
      <c r="H433" s="16"/>
      <c r="I433" s="9"/>
      <c r="K433" s="3"/>
      <c r="U433" s="3"/>
      <c r="AE433" s="3"/>
      <c r="AO433" s="3"/>
    </row>
    <row r="434" ht="14.25" customHeight="1">
      <c r="C434" s="9"/>
      <c r="D434" s="9"/>
      <c r="E434" s="9"/>
      <c r="F434" s="9"/>
      <c r="G434" s="9"/>
      <c r="H434" s="16"/>
      <c r="I434" s="9"/>
      <c r="K434" s="3"/>
      <c r="U434" s="3"/>
      <c r="AE434" s="3"/>
      <c r="AO434" s="3"/>
    </row>
    <row r="435" ht="14.25" customHeight="1">
      <c r="C435" s="9"/>
      <c r="D435" s="9"/>
      <c r="E435" s="9"/>
      <c r="F435" s="9"/>
      <c r="G435" s="9"/>
      <c r="H435" s="16"/>
      <c r="I435" s="9"/>
      <c r="K435" s="3"/>
      <c r="U435" s="3"/>
      <c r="AE435" s="3"/>
      <c r="AO435" s="3"/>
    </row>
    <row r="436" ht="14.25" customHeight="1">
      <c r="C436" s="9"/>
      <c r="D436" s="9"/>
      <c r="E436" s="9"/>
      <c r="F436" s="9"/>
      <c r="G436" s="9"/>
      <c r="H436" s="16"/>
      <c r="I436" s="9"/>
      <c r="K436" s="3"/>
      <c r="U436" s="3"/>
      <c r="AE436" s="3"/>
      <c r="AO436" s="3"/>
    </row>
    <row r="437" ht="14.25" customHeight="1">
      <c r="C437" s="9"/>
      <c r="D437" s="9"/>
      <c r="E437" s="9"/>
      <c r="F437" s="9"/>
      <c r="G437" s="9"/>
      <c r="H437" s="16"/>
      <c r="I437" s="9"/>
      <c r="K437" s="3"/>
      <c r="U437" s="3"/>
      <c r="AE437" s="3"/>
      <c r="AO437" s="3"/>
    </row>
    <row r="438" ht="14.25" customHeight="1">
      <c r="C438" s="9"/>
      <c r="D438" s="9"/>
      <c r="E438" s="9"/>
      <c r="F438" s="9"/>
      <c r="G438" s="9"/>
      <c r="H438" s="16"/>
      <c r="I438" s="9"/>
      <c r="K438" s="3"/>
      <c r="U438" s="3"/>
      <c r="AE438" s="3"/>
      <c r="AO438" s="3"/>
    </row>
    <row r="439" ht="14.25" customHeight="1">
      <c r="C439" s="9"/>
      <c r="D439" s="9"/>
      <c r="E439" s="9"/>
      <c r="F439" s="9"/>
      <c r="G439" s="9"/>
      <c r="H439" s="16"/>
      <c r="I439" s="9"/>
      <c r="K439" s="3"/>
      <c r="U439" s="3"/>
      <c r="AE439" s="3"/>
      <c r="AO439" s="3"/>
    </row>
    <row r="440" ht="14.25" customHeight="1">
      <c r="C440" s="9"/>
      <c r="D440" s="9"/>
      <c r="E440" s="9"/>
      <c r="F440" s="9"/>
      <c r="G440" s="9"/>
      <c r="H440" s="16"/>
      <c r="I440" s="9"/>
      <c r="K440" s="3"/>
      <c r="U440" s="3"/>
      <c r="AE440" s="3"/>
      <c r="AO440" s="3"/>
    </row>
    <row r="441" ht="14.25" customHeight="1">
      <c r="C441" s="9"/>
      <c r="D441" s="9"/>
      <c r="E441" s="9"/>
      <c r="F441" s="9"/>
      <c r="G441" s="9"/>
      <c r="H441" s="16"/>
      <c r="I441" s="9"/>
      <c r="K441" s="3"/>
      <c r="U441" s="3"/>
      <c r="AE441" s="3"/>
      <c r="AO441" s="3"/>
    </row>
    <row r="442" ht="14.25" customHeight="1">
      <c r="C442" s="9"/>
      <c r="D442" s="9"/>
      <c r="E442" s="9"/>
      <c r="F442" s="9"/>
      <c r="G442" s="9"/>
      <c r="H442" s="16"/>
      <c r="I442" s="9"/>
      <c r="K442" s="3"/>
      <c r="U442" s="3"/>
      <c r="AE442" s="3"/>
      <c r="AO442" s="3"/>
    </row>
    <row r="443" ht="14.25" customHeight="1">
      <c r="C443" s="9"/>
      <c r="D443" s="9"/>
      <c r="E443" s="9"/>
      <c r="F443" s="9"/>
      <c r="G443" s="9"/>
      <c r="H443" s="16"/>
      <c r="I443" s="9"/>
      <c r="K443" s="3"/>
      <c r="U443" s="3"/>
      <c r="AE443" s="3"/>
      <c r="AO443" s="3"/>
    </row>
    <row r="444" ht="14.25" customHeight="1">
      <c r="C444" s="9"/>
      <c r="D444" s="9"/>
      <c r="E444" s="9"/>
      <c r="F444" s="9"/>
      <c r="G444" s="9"/>
      <c r="H444" s="16"/>
      <c r="I444" s="9"/>
      <c r="K444" s="3"/>
      <c r="U444" s="3"/>
      <c r="AE444" s="3"/>
      <c r="AO444" s="3"/>
    </row>
    <row r="445" ht="14.25" customHeight="1">
      <c r="C445" s="9"/>
      <c r="D445" s="9"/>
      <c r="E445" s="9"/>
      <c r="F445" s="9"/>
      <c r="G445" s="9"/>
      <c r="H445" s="16"/>
      <c r="I445" s="9"/>
      <c r="K445" s="3"/>
      <c r="U445" s="3"/>
      <c r="AE445" s="3"/>
      <c r="AO445" s="3"/>
    </row>
    <row r="446" ht="14.25" customHeight="1">
      <c r="C446" s="9"/>
      <c r="D446" s="9"/>
      <c r="E446" s="9"/>
      <c r="F446" s="9"/>
      <c r="G446" s="9"/>
      <c r="H446" s="16"/>
      <c r="I446" s="9"/>
      <c r="K446" s="3"/>
      <c r="U446" s="3"/>
      <c r="AE446" s="3"/>
      <c r="AO446" s="3"/>
    </row>
    <row r="447" ht="14.25" customHeight="1">
      <c r="C447" s="9"/>
      <c r="D447" s="9"/>
      <c r="E447" s="9"/>
      <c r="F447" s="9"/>
      <c r="G447" s="9"/>
      <c r="H447" s="16"/>
      <c r="I447" s="9"/>
      <c r="K447" s="3"/>
      <c r="U447" s="3"/>
      <c r="AE447" s="3"/>
      <c r="AO447" s="3"/>
    </row>
    <row r="448" ht="14.25" customHeight="1">
      <c r="C448" s="9"/>
      <c r="D448" s="9"/>
      <c r="E448" s="9"/>
      <c r="F448" s="9"/>
      <c r="G448" s="9"/>
      <c r="H448" s="16"/>
      <c r="I448" s="9"/>
      <c r="K448" s="3"/>
      <c r="U448" s="3"/>
      <c r="AE448" s="3"/>
      <c r="AO448" s="3"/>
    </row>
    <row r="449" ht="14.25" customHeight="1">
      <c r="C449" s="9"/>
      <c r="D449" s="9"/>
      <c r="E449" s="9"/>
      <c r="F449" s="9"/>
      <c r="G449" s="9"/>
      <c r="H449" s="16"/>
      <c r="I449" s="9"/>
      <c r="K449" s="3"/>
      <c r="U449" s="3"/>
      <c r="AE449" s="3"/>
      <c r="AO449" s="3"/>
    </row>
    <row r="450" ht="14.25" customHeight="1">
      <c r="C450" s="9"/>
      <c r="D450" s="9"/>
      <c r="E450" s="9"/>
      <c r="F450" s="9"/>
      <c r="G450" s="9"/>
      <c r="H450" s="16"/>
      <c r="I450" s="9"/>
      <c r="K450" s="3"/>
      <c r="U450" s="3"/>
      <c r="AE450" s="3"/>
      <c r="AO450" s="3"/>
    </row>
    <row r="451" ht="14.25" customHeight="1">
      <c r="C451" s="9"/>
      <c r="D451" s="9"/>
      <c r="E451" s="9"/>
      <c r="F451" s="9"/>
      <c r="G451" s="9"/>
      <c r="H451" s="16"/>
      <c r="I451" s="9"/>
      <c r="K451" s="3"/>
      <c r="U451" s="3"/>
      <c r="AE451" s="3"/>
      <c r="AO451" s="3"/>
    </row>
    <row r="452" ht="14.25" customHeight="1">
      <c r="C452" s="9"/>
      <c r="D452" s="9"/>
      <c r="E452" s="9"/>
      <c r="F452" s="9"/>
      <c r="G452" s="9"/>
      <c r="H452" s="16"/>
      <c r="I452" s="9"/>
      <c r="K452" s="3"/>
      <c r="U452" s="3"/>
      <c r="AE452" s="3"/>
      <c r="AO452" s="3"/>
    </row>
    <row r="453" ht="14.25" customHeight="1">
      <c r="C453" s="9"/>
      <c r="D453" s="9"/>
      <c r="E453" s="9"/>
      <c r="F453" s="9"/>
      <c r="G453" s="9"/>
      <c r="H453" s="16"/>
      <c r="I453" s="9"/>
      <c r="K453" s="3"/>
      <c r="U453" s="3"/>
      <c r="AE453" s="3"/>
      <c r="AO453" s="3"/>
    </row>
    <row r="454" ht="14.25" customHeight="1">
      <c r="C454" s="9"/>
      <c r="D454" s="9"/>
      <c r="E454" s="9"/>
      <c r="F454" s="9"/>
      <c r="G454" s="9"/>
      <c r="H454" s="16"/>
      <c r="I454" s="9"/>
      <c r="K454" s="3"/>
      <c r="U454" s="3"/>
      <c r="AE454" s="3"/>
      <c r="AO454" s="3"/>
    </row>
    <row r="455" ht="14.25" customHeight="1">
      <c r="C455" s="9"/>
      <c r="D455" s="9"/>
      <c r="E455" s="9"/>
      <c r="F455" s="9"/>
      <c r="G455" s="9"/>
      <c r="H455" s="16"/>
      <c r="I455" s="9"/>
      <c r="K455" s="3"/>
      <c r="U455" s="3"/>
      <c r="AE455" s="3"/>
      <c r="AO455" s="3"/>
    </row>
    <row r="456" ht="14.25" customHeight="1">
      <c r="C456" s="9"/>
      <c r="D456" s="9"/>
      <c r="E456" s="9"/>
      <c r="F456" s="9"/>
      <c r="G456" s="9"/>
      <c r="H456" s="16"/>
      <c r="I456" s="9"/>
      <c r="K456" s="3"/>
      <c r="U456" s="3"/>
      <c r="AE456" s="3"/>
      <c r="AO456" s="3"/>
    </row>
    <row r="457" ht="14.25" customHeight="1">
      <c r="C457" s="9"/>
      <c r="D457" s="9"/>
      <c r="E457" s="9"/>
      <c r="F457" s="9"/>
      <c r="G457" s="9"/>
      <c r="H457" s="16"/>
      <c r="I457" s="9"/>
      <c r="K457" s="3"/>
      <c r="U457" s="3"/>
      <c r="AE457" s="3"/>
      <c r="AO457" s="3"/>
    </row>
    <row r="458" ht="14.25" customHeight="1">
      <c r="C458" s="9"/>
      <c r="D458" s="9"/>
      <c r="E458" s="9"/>
      <c r="F458" s="9"/>
      <c r="G458" s="9"/>
      <c r="H458" s="16"/>
      <c r="I458" s="9"/>
      <c r="K458" s="3"/>
      <c r="U458" s="3"/>
      <c r="AE458" s="3"/>
      <c r="AO458" s="3"/>
    </row>
    <row r="459" ht="14.25" customHeight="1">
      <c r="C459" s="9"/>
      <c r="D459" s="9"/>
      <c r="E459" s="9"/>
      <c r="F459" s="9"/>
      <c r="G459" s="9"/>
      <c r="H459" s="16"/>
      <c r="I459" s="9"/>
      <c r="K459" s="3"/>
      <c r="U459" s="3"/>
      <c r="AE459" s="3"/>
      <c r="AO459" s="3"/>
    </row>
    <row r="460" ht="14.25" customHeight="1">
      <c r="C460" s="9"/>
      <c r="D460" s="9"/>
      <c r="E460" s="9"/>
      <c r="F460" s="9"/>
      <c r="G460" s="9"/>
      <c r="H460" s="16"/>
      <c r="I460" s="9"/>
      <c r="K460" s="3"/>
      <c r="U460" s="3"/>
      <c r="AE460" s="3"/>
      <c r="AO460" s="3"/>
    </row>
    <row r="461" ht="14.25" customHeight="1">
      <c r="C461" s="9"/>
      <c r="D461" s="9"/>
      <c r="E461" s="9"/>
      <c r="F461" s="9"/>
      <c r="G461" s="9"/>
      <c r="H461" s="16"/>
      <c r="I461" s="9"/>
      <c r="K461" s="3"/>
      <c r="U461" s="3"/>
      <c r="AE461" s="3"/>
      <c r="AO461" s="3"/>
    </row>
    <row r="462" ht="14.25" customHeight="1">
      <c r="C462" s="9"/>
      <c r="D462" s="9"/>
      <c r="E462" s="9"/>
      <c r="F462" s="9"/>
      <c r="G462" s="9"/>
      <c r="H462" s="16"/>
      <c r="I462" s="9"/>
      <c r="K462" s="3"/>
      <c r="U462" s="3"/>
      <c r="AE462" s="3"/>
      <c r="AO462" s="3"/>
    </row>
    <row r="463" ht="14.25" customHeight="1">
      <c r="C463" s="9"/>
      <c r="D463" s="9"/>
      <c r="E463" s="9"/>
      <c r="F463" s="9"/>
      <c r="G463" s="9"/>
      <c r="H463" s="16"/>
      <c r="I463" s="9"/>
      <c r="K463" s="3"/>
      <c r="U463" s="3"/>
      <c r="AE463" s="3"/>
      <c r="AO463" s="3"/>
    </row>
    <row r="464" ht="14.25" customHeight="1">
      <c r="C464" s="9"/>
      <c r="D464" s="9"/>
      <c r="E464" s="9"/>
      <c r="F464" s="9"/>
      <c r="G464" s="9"/>
      <c r="H464" s="16"/>
      <c r="I464" s="9"/>
      <c r="K464" s="3"/>
      <c r="U464" s="3"/>
      <c r="AE464" s="3"/>
      <c r="AO464" s="3"/>
    </row>
    <row r="465" ht="14.25" customHeight="1">
      <c r="C465" s="9"/>
      <c r="D465" s="9"/>
      <c r="E465" s="9"/>
      <c r="F465" s="9"/>
      <c r="G465" s="9"/>
      <c r="H465" s="16"/>
      <c r="I465" s="9"/>
      <c r="K465" s="3"/>
      <c r="U465" s="3"/>
      <c r="AE465" s="3"/>
      <c r="AO465" s="3"/>
    </row>
    <row r="466" ht="14.25" customHeight="1">
      <c r="C466" s="9"/>
      <c r="D466" s="9"/>
      <c r="E466" s="9"/>
      <c r="F466" s="9"/>
      <c r="G466" s="9"/>
      <c r="H466" s="16"/>
      <c r="I466" s="9"/>
      <c r="K466" s="3"/>
      <c r="U466" s="3"/>
      <c r="AE466" s="3"/>
      <c r="AO466" s="3"/>
    </row>
    <row r="467" ht="14.25" customHeight="1">
      <c r="C467" s="9"/>
      <c r="D467" s="9"/>
      <c r="E467" s="9"/>
      <c r="F467" s="9"/>
      <c r="G467" s="9"/>
      <c r="H467" s="16"/>
      <c r="I467" s="9"/>
      <c r="K467" s="3"/>
      <c r="U467" s="3"/>
      <c r="AE467" s="3"/>
      <c r="AO467" s="3"/>
    </row>
    <row r="468" ht="14.25" customHeight="1">
      <c r="C468" s="9"/>
      <c r="D468" s="9"/>
      <c r="E468" s="9"/>
      <c r="F468" s="9"/>
      <c r="G468" s="9"/>
      <c r="H468" s="16"/>
      <c r="I468" s="9"/>
      <c r="K468" s="3"/>
      <c r="U468" s="3"/>
      <c r="AE468" s="3"/>
      <c r="AO468" s="3"/>
    </row>
    <row r="469" ht="14.25" customHeight="1">
      <c r="C469" s="9"/>
      <c r="D469" s="9"/>
      <c r="E469" s="9"/>
      <c r="F469" s="9"/>
      <c r="G469" s="9"/>
      <c r="H469" s="16"/>
      <c r="I469" s="9"/>
      <c r="K469" s="3"/>
      <c r="U469" s="3"/>
      <c r="AE469" s="3"/>
      <c r="AO469" s="3"/>
    </row>
    <row r="470" ht="14.25" customHeight="1">
      <c r="C470" s="9"/>
      <c r="D470" s="9"/>
      <c r="E470" s="9"/>
      <c r="F470" s="9"/>
      <c r="G470" s="9"/>
      <c r="H470" s="16"/>
      <c r="I470" s="9"/>
      <c r="K470" s="3"/>
      <c r="U470" s="3"/>
      <c r="AE470" s="3"/>
      <c r="AO470" s="3"/>
    </row>
    <row r="471" ht="14.25" customHeight="1">
      <c r="C471" s="9"/>
      <c r="D471" s="9"/>
      <c r="E471" s="9"/>
      <c r="F471" s="9"/>
      <c r="G471" s="9"/>
      <c r="H471" s="16"/>
      <c r="I471" s="9"/>
      <c r="K471" s="3"/>
      <c r="U471" s="3"/>
      <c r="AE471" s="3"/>
      <c r="AO471" s="3"/>
    </row>
    <row r="472" ht="14.25" customHeight="1">
      <c r="C472" s="9"/>
      <c r="D472" s="9"/>
      <c r="E472" s="9"/>
      <c r="F472" s="9"/>
      <c r="G472" s="9"/>
      <c r="H472" s="16"/>
      <c r="I472" s="9"/>
      <c r="K472" s="3"/>
      <c r="U472" s="3"/>
      <c r="AE472" s="3"/>
      <c r="AO472" s="3"/>
    </row>
    <row r="473" ht="14.25" customHeight="1">
      <c r="C473" s="9"/>
      <c r="D473" s="9"/>
      <c r="E473" s="9"/>
      <c r="F473" s="9"/>
      <c r="G473" s="9"/>
      <c r="H473" s="16"/>
      <c r="I473" s="9"/>
      <c r="K473" s="3"/>
      <c r="U473" s="3"/>
      <c r="AE473" s="3"/>
      <c r="AO473" s="3"/>
    </row>
    <row r="474" ht="14.25" customHeight="1">
      <c r="C474" s="9"/>
      <c r="D474" s="9"/>
      <c r="E474" s="9"/>
      <c r="F474" s="9"/>
      <c r="G474" s="9"/>
      <c r="H474" s="16"/>
      <c r="I474" s="9"/>
      <c r="K474" s="3"/>
      <c r="U474" s="3"/>
      <c r="AE474" s="3"/>
      <c r="AO474" s="3"/>
    </row>
    <row r="475" ht="14.25" customHeight="1">
      <c r="C475" s="9"/>
      <c r="D475" s="9"/>
      <c r="E475" s="9"/>
      <c r="F475" s="9"/>
      <c r="G475" s="9"/>
      <c r="H475" s="16"/>
      <c r="I475" s="9"/>
      <c r="K475" s="3"/>
      <c r="U475" s="3"/>
      <c r="AE475" s="3"/>
      <c r="AO475" s="3"/>
    </row>
    <row r="476" ht="14.25" customHeight="1">
      <c r="C476" s="9"/>
      <c r="D476" s="9"/>
      <c r="E476" s="9"/>
      <c r="F476" s="9"/>
      <c r="G476" s="9"/>
      <c r="H476" s="16"/>
      <c r="I476" s="9"/>
      <c r="K476" s="3"/>
      <c r="U476" s="3"/>
      <c r="AE476" s="3"/>
      <c r="AO476" s="3"/>
    </row>
    <row r="477" ht="14.25" customHeight="1">
      <c r="C477" s="9"/>
      <c r="D477" s="9"/>
      <c r="E477" s="9"/>
      <c r="F477" s="9"/>
      <c r="G477" s="9"/>
      <c r="H477" s="16"/>
      <c r="I477" s="9"/>
      <c r="K477" s="3"/>
      <c r="U477" s="3"/>
      <c r="AE477" s="3"/>
      <c r="AO477" s="3"/>
    </row>
    <row r="478" ht="14.25" customHeight="1">
      <c r="C478" s="9"/>
      <c r="D478" s="9"/>
      <c r="E478" s="9"/>
      <c r="F478" s="9"/>
      <c r="G478" s="9"/>
      <c r="H478" s="16"/>
      <c r="I478" s="9"/>
      <c r="K478" s="3"/>
      <c r="U478" s="3"/>
      <c r="AE478" s="3"/>
      <c r="AO478" s="3"/>
    </row>
    <row r="479" ht="14.25" customHeight="1">
      <c r="C479" s="9"/>
      <c r="D479" s="9"/>
      <c r="E479" s="9"/>
      <c r="F479" s="9"/>
      <c r="G479" s="9"/>
      <c r="H479" s="16"/>
      <c r="I479" s="9"/>
      <c r="K479" s="3"/>
      <c r="U479" s="3"/>
      <c r="AE479" s="3"/>
      <c r="AO479" s="3"/>
    </row>
    <row r="480" ht="14.25" customHeight="1">
      <c r="C480" s="9"/>
      <c r="D480" s="9"/>
      <c r="E480" s="9"/>
      <c r="F480" s="9"/>
      <c r="G480" s="9"/>
      <c r="H480" s="16"/>
      <c r="I480" s="9"/>
      <c r="K480" s="3"/>
      <c r="U480" s="3"/>
      <c r="AE480" s="3"/>
      <c r="AO480" s="3"/>
    </row>
    <row r="481" ht="14.25" customHeight="1">
      <c r="C481" s="9"/>
      <c r="D481" s="9"/>
      <c r="E481" s="9"/>
      <c r="F481" s="9"/>
      <c r="G481" s="9"/>
      <c r="H481" s="16"/>
      <c r="I481" s="9"/>
      <c r="K481" s="3"/>
      <c r="U481" s="3"/>
      <c r="AE481" s="3"/>
      <c r="AO481" s="3"/>
    </row>
    <row r="482" ht="14.25" customHeight="1">
      <c r="C482" s="9"/>
      <c r="D482" s="9"/>
      <c r="E482" s="9"/>
      <c r="F482" s="9"/>
      <c r="G482" s="9"/>
      <c r="H482" s="16"/>
      <c r="I482" s="9"/>
      <c r="K482" s="3"/>
      <c r="U482" s="3"/>
      <c r="AE482" s="3"/>
      <c r="AO482" s="3"/>
    </row>
    <row r="483" ht="14.25" customHeight="1">
      <c r="C483" s="9"/>
      <c r="D483" s="9"/>
      <c r="E483" s="9"/>
      <c r="F483" s="9"/>
      <c r="G483" s="9"/>
      <c r="H483" s="16"/>
      <c r="I483" s="9"/>
      <c r="K483" s="3"/>
      <c r="U483" s="3"/>
      <c r="AE483" s="3"/>
      <c r="AO483" s="3"/>
    </row>
    <row r="484" ht="14.25" customHeight="1">
      <c r="C484" s="9"/>
      <c r="D484" s="9"/>
      <c r="E484" s="9"/>
      <c r="F484" s="9"/>
      <c r="G484" s="9"/>
      <c r="H484" s="16"/>
      <c r="I484" s="9"/>
      <c r="K484" s="3"/>
      <c r="U484" s="3"/>
      <c r="AE484" s="3"/>
      <c r="AO484" s="3"/>
    </row>
    <row r="485" ht="14.25" customHeight="1">
      <c r="C485" s="9"/>
      <c r="D485" s="9"/>
      <c r="E485" s="9"/>
      <c r="F485" s="9"/>
      <c r="G485" s="9"/>
      <c r="H485" s="16"/>
      <c r="I485" s="9"/>
      <c r="K485" s="3"/>
      <c r="U485" s="3"/>
      <c r="AE485" s="3"/>
      <c r="AO485" s="3"/>
    </row>
    <row r="486" ht="14.25" customHeight="1">
      <c r="C486" s="9"/>
      <c r="D486" s="9"/>
      <c r="E486" s="9"/>
      <c r="F486" s="9"/>
      <c r="G486" s="9"/>
      <c r="H486" s="16"/>
      <c r="I486" s="9"/>
      <c r="K486" s="3"/>
      <c r="U486" s="3"/>
      <c r="AE486" s="3"/>
      <c r="AO486" s="3"/>
    </row>
    <row r="487" ht="14.25" customHeight="1">
      <c r="C487" s="9"/>
      <c r="D487" s="9"/>
      <c r="E487" s="9"/>
      <c r="F487" s="9"/>
      <c r="G487" s="9"/>
      <c r="H487" s="16"/>
      <c r="I487" s="9"/>
      <c r="K487" s="3"/>
      <c r="U487" s="3"/>
      <c r="AE487" s="3"/>
      <c r="AO487" s="3"/>
    </row>
    <row r="488" ht="14.25" customHeight="1">
      <c r="C488" s="9"/>
      <c r="D488" s="9"/>
      <c r="E488" s="9"/>
      <c r="F488" s="9"/>
      <c r="G488" s="9"/>
      <c r="H488" s="16"/>
      <c r="I488" s="9"/>
      <c r="K488" s="3"/>
      <c r="U488" s="3"/>
      <c r="AE488" s="3"/>
      <c r="AO488" s="3"/>
    </row>
    <row r="489" ht="14.25" customHeight="1">
      <c r="C489" s="9"/>
      <c r="D489" s="9"/>
      <c r="E489" s="9"/>
      <c r="F489" s="9"/>
      <c r="G489" s="9"/>
      <c r="H489" s="16"/>
      <c r="I489" s="9"/>
      <c r="K489" s="3"/>
      <c r="U489" s="3"/>
      <c r="AE489" s="3"/>
      <c r="AO489" s="3"/>
    </row>
    <row r="490" ht="14.25" customHeight="1">
      <c r="C490" s="9"/>
      <c r="D490" s="9"/>
      <c r="E490" s="9"/>
      <c r="F490" s="9"/>
      <c r="G490" s="9"/>
      <c r="H490" s="16"/>
      <c r="I490" s="9"/>
      <c r="K490" s="3"/>
      <c r="U490" s="3"/>
      <c r="AE490" s="3"/>
      <c r="AO490" s="3"/>
    </row>
    <row r="491" ht="14.25" customHeight="1">
      <c r="C491" s="9"/>
      <c r="D491" s="9"/>
      <c r="E491" s="9"/>
      <c r="F491" s="9"/>
      <c r="G491" s="9"/>
      <c r="H491" s="16"/>
      <c r="I491" s="9"/>
      <c r="K491" s="3"/>
      <c r="U491" s="3"/>
      <c r="AE491" s="3"/>
      <c r="AO491" s="3"/>
    </row>
    <row r="492" ht="14.25" customHeight="1">
      <c r="C492" s="9"/>
      <c r="D492" s="9"/>
      <c r="E492" s="9"/>
      <c r="F492" s="9"/>
      <c r="G492" s="9"/>
      <c r="H492" s="16"/>
      <c r="I492" s="9"/>
      <c r="K492" s="3"/>
      <c r="U492" s="3"/>
      <c r="AE492" s="3"/>
      <c r="AO492" s="3"/>
    </row>
    <row r="493" ht="14.25" customHeight="1">
      <c r="C493" s="9"/>
      <c r="D493" s="9"/>
      <c r="E493" s="9"/>
      <c r="F493" s="9"/>
      <c r="G493" s="9"/>
      <c r="H493" s="16"/>
      <c r="I493" s="9"/>
      <c r="K493" s="3"/>
      <c r="U493" s="3"/>
      <c r="AE493" s="3"/>
      <c r="AO493" s="3"/>
    </row>
    <row r="494" ht="14.25" customHeight="1">
      <c r="C494" s="9"/>
      <c r="D494" s="9"/>
      <c r="E494" s="9"/>
      <c r="F494" s="9"/>
      <c r="G494" s="9"/>
      <c r="H494" s="16"/>
      <c r="I494" s="9"/>
      <c r="K494" s="3"/>
      <c r="U494" s="3"/>
      <c r="AE494" s="3"/>
      <c r="AO494" s="3"/>
    </row>
    <row r="495" ht="14.25" customHeight="1">
      <c r="C495" s="9"/>
      <c r="D495" s="9"/>
      <c r="E495" s="9"/>
      <c r="F495" s="9"/>
      <c r="G495" s="9"/>
      <c r="H495" s="16"/>
      <c r="I495" s="9"/>
      <c r="K495" s="3"/>
      <c r="U495" s="3"/>
      <c r="AE495" s="3"/>
      <c r="AO495" s="3"/>
    </row>
    <row r="496" ht="14.25" customHeight="1">
      <c r="C496" s="9"/>
      <c r="D496" s="9"/>
      <c r="E496" s="9"/>
      <c r="F496" s="9"/>
      <c r="G496" s="9"/>
      <c r="H496" s="16"/>
      <c r="I496" s="9"/>
      <c r="K496" s="3"/>
      <c r="U496" s="3"/>
      <c r="AE496" s="3"/>
      <c r="AO496" s="3"/>
    </row>
    <row r="497" ht="14.25" customHeight="1">
      <c r="C497" s="9"/>
      <c r="D497" s="9"/>
      <c r="E497" s="9"/>
      <c r="F497" s="9"/>
      <c r="G497" s="9"/>
      <c r="H497" s="16"/>
      <c r="I497" s="9"/>
      <c r="K497" s="3"/>
      <c r="U497" s="3"/>
      <c r="AE497" s="3"/>
      <c r="AO497" s="3"/>
    </row>
    <row r="498" ht="14.25" customHeight="1">
      <c r="C498" s="9"/>
      <c r="D498" s="9"/>
      <c r="E498" s="9"/>
      <c r="F498" s="9"/>
      <c r="G498" s="9"/>
      <c r="H498" s="16"/>
      <c r="I498" s="9"/>
      <c r="K498" s="3"/>
      <c r="U498" s="3"/>
      <c r="AE498" s="3"/>
      <c r="AO498" s="3"/>
    </row>
    <row r="499" ht="14.25" customHeight="1">
      <c r="C499" s="9"/>
      <c r="D499" s="9"/>
      <c r="E499" s="9"/>
      <c r="F499" s="9"/>
      <c r="G499" s="9"/>
      <c r="H499" s="16"/>
      <c r="I499" s="9"/>
      <c r="K499" s="3"/>
      <c r="U499" s="3"/>
      <c r="AE499" s="3"/>
      <c r="AO499" s="3"/>
    </row>
    <row r="500" ht="14.25" customHeight="1">
      <c r="C500" s="9"/>
      <c r="D500" s="9"/>
      <c r="E500" s="9"/>
      <c r="F500" s="9"/>
      <c r="G500" s="9"/>
      <c r="H500" s="16"/>
      <c r="I500" s="9"/>
      <c r="K500" s="3"/>
      <c r="U500" s="3"/>
      <c r="AE500" s="3"/>
      <c r="AO500" s="3"/>
    </row>
    <row r="501" ht="14.25" customHeight="1">
      <c r="C501" s="9"/>
      <c r="D501" s="9"/>
      <c r="E501" s="9"/>
      <c r="F501" s="9"/>
      <c r="G501" s="9"/>
      <c r="H501" s="16"/>
      <c r="I501" s="9"/>
      <c r="K501" s="3"/>
      <c r="U501" s="3"/>
      <c r="AE501" s="3"/>
      <c r="AO501" s="3"/>
    </row>
    <row r="502" ht="14.25" customHeight="1">
      <c r="C502" s="9"/>
      <c r="D502" s="9"/>
      <c r="E502" s="9"/>
      <c r="F502" s="9"/>
      <c r="G502" s="9"/>
      <c r="H502" s="16"/>
      <c r="I502" s="9"/>
      <c r="K502" s="3"/>
      <c r="U502" s="3"/>
      <c r="AE502" s="3"/>
      <c r="AO502" s="3"/>
    </row>
    <row r="503" ht="14.25" customHeight="1">
      <c r="C503" s="9"/>
      <c r="D503" s="9"/>
      <c r="E503" s="9"/>
      <c r="F503" s="9"/>
      <c r="G503" s="9"/>
      <c r="H503" s="16"/>
      <c r="I503" s="9"/>
      <c r="K503" s="3"/>
      <c r="U503" s="3"/>
      <c r="AE503" s="3"/>
      <c r="AO503" s="3"/>
    </row>
    <row r="504" ht="14.25" customHeight="1">
      <c r="C504" s="9"/>
      <c r="D504" s="9"/>
      <c r="E504" s="9"/>
      <c r="F504" s="9"/>
      <c r="G504" s="9"/>
      <c r="H504" s="16"/>
      <c r="I504" s="9"/>
      <c r="K504" s="3"/>
      <c r="U504" s="3"/>
      <c r="AE504" s="3"/>
      <c r="AO504" s="3"/>
    </row>
    <row r="505" ht="14.25" customHeight="1">
      <c r="C505" s="9"/>
      <c r="D505" s="9"/>
      <c r="E505" s="9"/>
      <c r="F505" s="9"/>
      <c r="G505" s="9"/>
      <c r="H505" s="16"/>
      <c r="I505" s="9"/>
      <c r="K505" s="3"/>
      <c r="U505" s="3"/>
      <c r="AE505" s="3"/>
      <c r="AO505" s="3"/>
    </row>
    <row r="506" ht="14.25" customHeight="1">
      <c r="C506" s="9"/>
      <c r="D506" s="9"/>
      <c r="E506" s="9"/>
      <c r="F506" s="9"/>
      <c r="G506" s="9"/>
      <c r="H506" s="16"/>
      <c r="I506" s="9"/>
      <c r="K506" s="3"/>
      <c r="U506" s="3"/>
      <c r="AE506" s="3"/>
      <c r="AO506" s="3"/>
    </row>
    <row r="507" ht="14.25" customHeight="1">
      <c r="C507" s="9"/>
      <c r="D507" s="9"/>
      <c r="E507" s="9"/>
      <c r="F507" s="9"/>
      <c r="G507" s="9"/>
      <c r="H507" s="16"/>
      <c r="I507" s="9"/>
      <c r="K507" s="3"/>
      <c r="U507" s="3"/>
      <c r="AE507" s="3"/>
      <c r="AO507" s="3"/>
    </row>
    <row r="508" ht="14.25" customHeight="1">
      <c r="C508" s="9"/>
      <c r="D508" s="9"/>
      <c r="E508" s="9"/>
      <c r="F508" s="9"/>
      <c r="G508" s="9"/>
      <c r="H508" s="16"/>
      <c r="I508" s="9"/>
      <c r="K508" s="3"/>
      <c r="U508" s="3"/>
      <c r="AE508" s="3"/>
      <c r="AO508" s="3"/>
    </row>
    <row r="509" ht="14.25" customHeight="1">
      <c r="C509" s="9"/>
      <c r="D509" s="9"/>
      <c r="E509" s="9"/>
      <c r="F509" s="9"/>
      <c r="G509" s="9"/>
      <c r="H509" s="16"/>
      <c r="I509" s="9"/>
      <c r="K509" s="3"/>
      <c r="U509" s="3"/>
      <c r="AE509" s="3"/>
      <c r="AO509" s="3"/>
    </row>
    <row r="510" ht="14.25" customHeight="1">
      <c r="C510" s="9"/>
      <c r="D510" s="9"/>
      <c r="E510" s="9"/>
      <c r="F510" s="9"/>
      <c r="G510" s="9"/>
      <c r="H510" s="16"/>
      <c r="I510" s="9"/>
      <c r="K510" s="3"/>
      <c r="U510" s="3"/>
      <c r="AE510" s="3"/>
      <c r="AO510" s="3"/>
    </row>
    <row r="511" ht="14.25" customHeight="1">
      <c r="C511" s="9"/>
      <c r="D511" s="9"/>
      <c r="E511" s="9"/>
      <c r="F511" s="9"/>
      <c r="G511" s="9"/>
      <c r="H511" s="16"/>
      <c r="I511" s="9"/>
      <c r="K511" s="3"/>
      <c r="U511" s="3"/>
      <c r="AE511" s="3"/>
      <c r="AO511" s="3"/>
    </row>
    <row r="512" ht="14.25" customHeight="1">
      <c r="C512" s="9"/>
      <c r="D512" s="9"/>
      <c r="E512" s="9"/>
      <c r="F512" s="9"/>
      <c r="G512" s="9"/>
      <c r="H512" s="16"/>
      <c r="I512" s="9"/>
      <c r="K512" s="3"/>
      <c r="U512" s="3"/>
      <c r="AE512" s="3"/>
      <c r="AO512" s="3"/>
    </row>
    <row r="513" ht="14.25" customHeight="1">
      <c r="C513" s="9"/>
      <c r="D513" s="9"/>
      <c r="E513" s="9"/>
      <c r="F513" s="9"/>
      <c r="G513" s="9"/>
      <c r="H513" s="16"/>
      <c r="I513" s="9"/>
      <c r="K513" s="3"/>
      <c r="U513" s="3"/>
      <c r="AE513" s="3"/>
      <c r="AO513" s="3"/>
    </row>
    <row r="514" ht="14.25" customHeight="1">
      <c r="C514" s="9"/>
      <c r="D514" s="9"/>
      <c r="E514" s="9"/>
      <c r="F514" s="9"/>
      <c r="G514" s="9"/>
      <c r="H514" s="16"/>
      <c r="I514" s="9"/>
      <c r="K514" s="3"/>
      <c r="U514" s="3"/>
      <c r="AE514" s="3"/>
      <c r="AO514" s="3"/>
    </row>
    <row r="515" ht="14.25" customHeight="1">
      <c r="C515" s="9"/>
      <c r="D515" s="9"/>
      <c r="E515" s="9"/>
      <c r="F515" s="9"/>
      <c r="G515" s="9"/>
      <c r="H515" s="16"/>
      <c r="I515" s="9"/>
      <c r="K515" s="3"/>
      <c r="U515" s="3"/>
      <c r="AE515" s="3"/>
      <c r="AO515" s="3"/>
    </row>
    <row r="516" ht="14.25" customHeight="1">
      <c r="C516" s="9"/>
      <c r="D516" s="9"/>
      <c r="E516" s="9"/>
      <c r="F516" s="9"/>
      <c r="G516" s="9"/>
      <c r="H516" s="16"/>
      <c r="I516" s="9"/>
      <c r="K516" s="3"/>
      <c r="U516" s="3"/>
      <c r="AE516" s="3"/>
      <c r="AO516" s="3"/>
    </row>
    <row r="517" ht="14.25" customHeight="1">
      <c r="C517" s="9"/>
      <c r="D517" s="9"/>
      <c r="E517" s="9"/>
      <c r="F517" s="9"/>
      <c r="G517" s="9"/>
      <c r="H517" s="16"/>
      <c r="I517" s="9"/>
      <c r="K517" s="3"/>
      <c r="U517" s="3"/>
      <c r="AE517" s="3"/>
      <c r="AO517" s="3"/>
    </row>
    <row r="518" ht="14.25" customHeight="1">
      <c r="C518" s="9"/>
      <c r="D518" s="9"/>
      <c r="E518" s="9"/>
      <c r="F518" s="9"/>
      <c r="G518" s="9"/>
      <c r="H518" s="16"/>
      <c r="I518" s="9"/>
      <c r="K518" s="3"/>
      <c r="U518" s="3"/>
      <c r="AE518" s="3"/>
      <c r="AO518" s="3"/>
    </row>
    <row r="519" ht="14.25" customHeight="1">
      <c r="C519" s="9"/>
      <c r="D519" s="9"/>
      <c r="E519" s="9"/>
      <c r="F519" s="9"/>
      <c r="G519" s="9"/>
      <c r="H519" s="16"/>
      <c r="I519" s="9"/>
      <c r="K519" s="3"/>
      <c r="U519" s="3"/>
      <c r="AE519" s="3"/>
      <c r="AO519" s="3"/>
    </row>
    <row r="520" ht="14.25" customHeight="1">
      <c r="C520" s="9"/>
      <c r="D520" s="9"/>
      <c r="E520" s="9"/>
      <c r="F520" s="9"/>
      <c r="G520" s="9"/>
      <c r="H520" s="16"/>
      <c r="I520" s="9"/>
      <c r="K520" s="3"/>
      <c r="U520" s="3"/>
      <c r="AE520" s="3"/>
      <c r="AO520" s="3"/>
    </row>
    <row r="521" ht="14.25" customHeight="1">
      <c r="C521" s="9"/>
      <c r="D521" s="9"/>
      <c r="E521" s="9"/>
      <c r="F521" s="9"/>
      <c r="G521" s="9"/>
      <c r="H521" s="16"/>
      <c r="I521" s="9"/>
      <c r="K521" s="3"/>
      <c r="U521" s="3"/>
      <c r="AE521" s="3"/>
      <c r="AO521" s="3"/>
    </row>
    <row r="522" ht="14.25" customHeight="1">
      <c r="C522" s="9"/>
      <c r="D522" s="9"/>
      <c r="E522" s="9"/>
      <c r="F522" s="9"/>
      <c r="G522" s="9"/>
      <c r="H522" s="16"/>
      <c r="I522" s="9"/>
      <c r="K522" s="3"/>
      <c r="U522" s="3"/>
      <c r="AE522" s="3"/>
      <c r="AO522" s="3"/>
    </row>
    <row r="523" ht="14.25" customHeight="1">
      <c r="C523" s="9"/>
      <c r="D523" s="9"/>
      <c r="E523" s="9"/>
      <c r="F523" s="9"/>
      <c r="G523" s="9"/>
      <c r="H523" s="16"/>
      <c r="I523" s="9"/>
      <c r="K523" s="3"/>
      <c r="U523" s="3"/>
      <c r="AE523" s="3"/>
      <c r="AO523" s="3"/>
    </row>
    <row r="524" ht="14.25" customHeight="1">
      <c r="C524" s="9"/>
      <c r="D524" s="9"/>
      <c r="E524" s="9"/>
      <c r="F524" s="9"/>
      <c r="G524" s="9"/>
      <c r="H524" s="16"/>
      <c r="I524" s="9"/>
      <c r="K524" s="3"/>
      <c r="U524" s="3"/>
      <c r="AE524" s="3"/>
      <c r="AO524" s="3"/>
    </row>
    <row r="525" ht="14.25" customHeight="1">
      <c r="C525" s="9"/>
      <c r="D525" s="9"/>
      <c r="E525" s="9"/>
      <c r="F525" s="9"/>
      <c r="G525" s="9"/>
      <c r="H525" s="16"/>
      <c r="I525" s="9"/>
      <c r="K525" s="3"/>
      <c r="U525" s="3"/>
      <c r="AE525" s="3"/>
      <c r="AO525" s="3"/>
    </row>
    <row r="526" ht="14.25" customHeight="1">
      <c r="C526" s="9"/>
      <c r="D526" s="9"/>
      <c r="E526" s="9"/>
      <c r="F526" s="9"/>
      <c r="G526" s="9"/>
      <c r="H526" s="16"/>
      <c r="I526" s="9"/>
      <c r="K526" s="3"/>
      <c r="U526" s="3"/>
      <c r="AE526" s="3"/>
      <c r="AO526" s="3"/>
    </row>
    <row r="527" ht="14.25" customHeight="1">
      <c r="C527" s="9"/>
      <c r="D527" s="9"/>
      <c r="E527" s="9"/>
      <c r="F527" s="9"/>
      <c r="G527" s="9"/>
      <c r="H527" s="16"/>
      <c r="I527" s="9"/>
      <c r="K527" s="3"/>
      <c r="U527" s="3"/>
      <c r="AE527" s="3"/>
      <c r="AO527" s="3"/>
    </row>
    <row r="528" ht="14.25" customHeight="1">
      <c r="C528" s="9"/>
      <c r="D528" s="9"/>
      <c r="E528" s="9"/>
      <c r="F528" s="9"/>
      <c r="G528" s="9"/>
      <c r="H528" s="16"/>
      <c r="I528" s="9"/>
      <c r="K528" s="3"/>
      <c r="U528" s="3"/>
      <c r="AE528" s="3"/>
      <c r="AO528" s="3"/>
    </row>
    <row r="529" ht="14.25" customHeight="1">
      <c r="C529" s="9"/>
      <c r="D529" s="9"/>
      <c r="E529" s="9"/>
      <c r="F529" s="9"/>
      <c r="G529" s="9"/>
      <c r="H529" s="16"/>
      <c r="I529" s="9"/>
      <c r="K529" s="3"/>
      <c r="U529" s="3"/>
      <c r="AE529" s="3"/>
      <c r="AO529" s="3"/>
    </row>
    <row r="530" ht="14.25" customHeight="1">
      <c r="C530" s="9"/>
      <c r="D530" s="9"/>
      <c r="E530" s="9"/>
      <c r="F530" s="9"/>
      <c r="G530" s="9"/>
      <c r="H530" s="16"/>
      <c r="I530" s="9"/>
      <c r="K530" s="3"/>
      <c r="U530" s="3"/>
      <c r="AE530" s="3"/>
      <c r="AO530" s="3"/>
    </row>
    <row r="531" ht="14.25" customHeight="1">
      <c r="C531" s="9"/>
      <c r="D531" s="9"/>
      <c r="E531" s="9"/>
      <c r="F531" s="9"/>
      <c r="G531" s="9"/>
      <c r="H531" s="16"/>
      <c r="I531" s="9"/>
      <c r="K531" s="3"/>
      <c r="U531" s="3"/>
      <c r="AE531" s="3"/>
      <c r="AO531" s="3"/>
    </row>
    <row r="532" ht="14.25" customHeight="1">
      <c r="C532" s="9"/>
      <c r="D532" s="9"/>
      <c r="E532" s="9"/>
      <c r="F532" s="9"/>
      <c r="G532" s="9"/>
      <c r="H532" s="16"/>
      <c r="I532" s="9"/>
      <c r="K532" s="3"/>
      <c r="U532" s="3"/>
      <c r="AE532" s="3"/>
      <c r="AO532" s="3"/>
    </row>
    <row r="533" ht="14.25" customHeight="1">
      <c r="C533" s="9"/>
      <c r="D533" s="9"/>
      <c r="E533" s="9"/>
      <c r="F533" s="9"/>
      <c r="G533" s="9"/>
      <c r="H533" s="16"/>
      <c r="I533" s="9"/>
      <c r="K533" s="3"/>
      <c r="U533" s="3"/>
      <c r="AE533" s="3"/>
      <c r="AO533" s="3"/>
    </row>
    <row r="534" ht="14.25" customHeight="1">
      <c r="C534" s="9"/>
      <c r="D534" s="9"/>
      <c r="E534" s="9"/>
      <c r="F534" s="9"/>
      <c r="G534" s="9"/>
      <c r="H534" s="16"/>
      <c r="I534" s="9"/>
      <c r="K534" s="3"/>
      <c r="U534" s="3"/>
      <c r="AE534" s="3"/>
      <c r="AO534" s="3"/>
    </row>
    <row r="535" ht="14.25" customHeight="1">
      <c r="C535" s="9"/>
      <c r="D535" s="9"/>
      <c r="E535" s="9"/>
      <c r="F535" s="9"/>
      <c r="G535" s="9"/>
      <c r="H535" s="16"/>
      <c r="I535" s="9"/>
      <c r="K535" s="3"/>
      <c r="U535" s="3"/>
      <c r="AE535" s="3"/>
      <c r="AO535" s="3"/>
    </row>
    <row r="536" ht="14.25" customHeight="1">
      <c r="C536" s="9"/>
      <c r="D536" s="9"/>
      <c r="E536" s="9"/>
      <c r="F536" s="9"/>
      <c r="G536" s="9"/>
      <c r="H536" s="16"/>
      <c r="I536" s="9"/>
      <c r="K536" s="3"/>
      <c r="U536" s="3"/>
      <c r="AE536" s="3"/>
      <c r="AO536" s="3"/>
    </row>
    <row r="537" ht="14.25" customHeight="1">
      <c r="C537" s="9"/>
      <c r="D537" s="9"/>
      <c r="E537" s="9"/>
      <c r="F537" s="9"/>
      <c r="G537" s="9"/>
      <c r="H537" s="16"/>
      <c r="I537" s="9"/>
      <c r="K537" s="3"/>
      <c r="U537" s="3"/>
      <c r="AE537" s="3"/>
      <c r="AO537" s="3"/>
    </row>
    <row r="538" ht="14.25" customHeight="1">
      <c r="C538" s="9"/>
      <c r="D538" s="9"/>
      <c r="E538" s="9"/>
      <c r="F538" s="9"/>
      <c r="G538" s="9"/>
      <c r="H538" s="16"/>
      <c r="I538" s="9"/>
      <c r="K538" s="3"/>
      <c r="U538" s="3"/>
      <c r="AE538" s="3"/>
      <c r="AO538" s="3"/>
    </row>
    <row r="539" ht="14.25" customHeight="1">
      <c r="C539" s="9"/>
      <c r="D539" s="9"/>
      <c r="E539" s="9"/>
      <c r="F539" s="9"/>
      <c r="G539" s="9"/>
      <c r="H539" s="16"/>
      <c r="I539" s="9"/>
      <c r="K539" s="3"/>
      <c r="U539" s="3"/>
      <c r="AE539" s="3"/>
      <c r="AO539" s="3"/>
    </row>
    <row r="540" ht="14.25" customHeight="1">
      <c r="C540" s="9"/>
      <c r="D540" s="9"/>
      <c r="E540" s="9"/>
      <c r="F540" s="9"/>
      <c r="G540" s="9"/>
      <c r="H540" s="16"/>
      <c r="I540" s="9"/>
      <c r="K540" s="3"/>
      <c r="U540" s="3"/>
      <c r="AE540" s="3"/>
      <c r="AO540" s="3"/>
    </row>
    <row r="541" ht="14.25" customHeight="1">
      <c r="C541" s="9"/>
      <c r="D541" s="9"/>
      <c r="E541" s="9"/>
      <c r="F541" s="9"/>
      <c r="G541" s="9"/>
      <c r="H541" s="16"/>
      <c r="I541" s="9"/>
      <c r="K541" s="3"/>
      <c r="U541" s="3"/>
      <c r="AE541" s="3"/>
      <c r="AO541" s="3"/>
    </row>
    <row r="542" ht="14.25" customHeight="1">
      <c r="C542" s="9"/>
      <c r="D542" s="9"/>
      <c r="E542" s="9"/>
      <c r="F542" s="9"/>
      <c r="G542" s="9"/>
      <c r="H542" s="16"/>
      <c r="I542" s="9"/>
      <c r="K542" s="3"/>
      <c r="U542" s="3"/>
      <c r="AE542" s="3"/>
      <c r="AO542" s="3"/>
    </row>
    <row r="543" ht="14.25" customHeight="1">
      <c r="C543" s="9"/>
      <c r="D543" s="9"/>
      <c r="E543" s="9"/>
      <c r="F543" s="9"/>
      <c r="G543" s="9"/>
      <c r="H543" s="16"/>
      <c r="I543" s="9"/>
      <c r="K543" s="3"/>
      <c r="U543" s="3"/>
      <c r="AE543" s="3"/>
      <c r="AO543" s="3"/>
    </row>
    <row r="544" ht="14.25" customHeight="1">
      <c r="C544" s="9"/>
      <c r="D544" s="9"/>
      <c r="E544" s="9"/>
      <c r="F544" s="9"/>
      <c r="G544" s="9"/>
      <c r="H544" s="16"/>
      <c r="I544" s="9"/>
      <c r="K544" s="3"/>
      <c r="U544" s="3"/>
      <c r="AE544" s="3"/>
      <c r="AO544" s="3"/>
    </row>
    <row r="545" ht="14.25" customHeight="1">
      <c r="C545" s="9"/>
      <c r="D545" s="9"/>
      <c r="E545" s="9"/>
      <c r="F545" s="9"/>
      <c r="G545" s="9"/>
      <c r="H545" s="16"/>
      <c r="I545" s="9"/>
      <c r="K545" s="3"/>
      <c r="U545" s="3"/>
      <c r="AE545" s="3"/>
      <c r="AO545" s="3"/>
    </row>
    <row r="546" ht="14.25" customHeight="1">
      <c r="C546" s="9"/>
      <c r="D546" s="9"/>
      <c r="E546" s="9"/>
      <c r="F546" s="9"/>
      <c r="G546" s="9"/>
      <c r="H546" s="16"/>
      <c r="I546" s="9"/>
      <c r="K546" s="3"/>
      <c r="U546" s="3"/>
      <c r="AE546" s="3"/>
      <c r="AO546" s="3"/>
    </row>
    <row r="547" ht="14.25" customHeight="1">
      <c r="C547" s="9"/>
      <c r="D547" s="9"/>
      <c r="E547" s="9"/>
      <c r="F547" s="9"/>
      <c r="G547" s="9"/>
      <c r="H547" s="16"/>
      <c r="I547" s="9"/>
      <c r="K547" s="3"/>
      <c r="U547" s="3"/>
      <c r="AE547" s="3"/>
      <c r="AO547" s="3"/>
    </row>
    <row r="548" ht="14.25" customHeight="1">
      <c r="C548" s="9"/>
      <c r="D548" s="9"/>
      <c r="E548" s="9"/>
      <c r="F548" s="9"/>
      <c r="G548" s="9"/>
      <c r="H548" s="16"/>
      <c r="I548" s="9"/>
      <c r="K548" s="3"/>
      <c r="U548" s="3"/>
      <c r="AE548" s="3"/>
      <c r="AO548" s="3"/>
    </row>
    <row r="549" ht="14.25" customHeight="1">
      <c r="C549" s="9"/>
      <c r="D549" s="9"/>
      <c r="E549" s="9"/>
      <c r="F549" s="9"/>
      <c r="G549" s="9"/>
      <c r="H549" s="16"/>
      <c r="I549" s="9"/>
      <c r="K549" s="3"/>
      <c r="U549" s="3"/>
      <c r="AE549" s="3"/>
      <c r="AO549" s="3"/>
    </row>
    <row r="550" ht="14.25" customHeight="1">
      <c r="C550" s="9"/>
      <c r="D550" s="9"/>
      <c r="E550" s="9"/>
      <c r="F550" s="9"/>
      <c r="G550" s="9"/>
      <c r="H550" s="16"/>
      <c r="I550" s="9"/>
      <c r="K550" s="3"/>
      <c r="U550" s="3"/>
      <c r="AE550" s="3"/>
      <c r="AO550" s="3"/>
    </row>
    <row r="551" ht="14.25" customHeight="1">
      <c r="C551" s="9"/>
      <c r="D551" s="9"/>
      <c r="E551" s="9"/>
      <c r="F551" s="9"/>
      <c r="G551" s="9"/>
      <c r="H551" s="16"/>
      <c r="I551" s="9"/>
      <c r="K551" s="3"/>
      <c r="U551" s="3"/>
      <c r="AE551" s="3"/>
      <c r="AO551" s="3"/>
    </row>
    <row r="552" ht="14.25" customHeight="1">
      <c r="C552" s="9"/>
      <c r="D552" s="9"/>
      <c r="E552" s="9"/>
      <c r="F552" s="9"/>
      <c r="G552" s="9"/>
      <c r="H552" s="16"/>
      <c r="I552" s="9"/>
      <c r="K552" s="3"/>
      <c r="U552" s="3"/>
      <c r="AE552" s="3"/>
      <c r="AO552" s="3"/>
    </row>
    <row r="553" ht="14.25" customHeight="1">
      <c r="C553" s="9"/>
      <c r="D553" s="9"/>
      <c r="E553" s="9"/>
      <c r="F553" s="9"/>
      <c r="G553" s="9"/>
      <c r="H553" s="16"/>
      <c r="I553" s="9"/>
      <c r="K553" s="3"/>
      <c r="U553" s="3"/>
      <c r="AE553" s="3"/>
      <c r="AO553" s="3"/>
    </row>
    <row r="554" ht="14.25" customHeight="1">
      <c r="C554" s="9"/>
      <c r="D554" s="9"/>
      <c r="E554" s="9"/>
      <c r="F554" s="9"/>
      <c r="G554" s="9"/>
      <c r="H554" s="16"/>
      <c r="I554" s="9"/>
      <c r="K554" s="3"/>
      <c r="U554" s="3"/>
      <c r="AE554" s="3"/>
      <c r="AO554" s="3"/>
    </row>
    <row r="555" ht="14.25" customHeight="1">
      <c r="C555" s="9"/>
      <c r="D555" s="9"/>
      <c r="E555" s="9"/>
      <c r="F555" s="9"/>
      <c r="G555" s="9"/>
      <c r="H555" s="16"/>
      <c r="I555" s="9"/>
      <c r="K555" s="3"/>
      <c r="U555" s="3"/>
      <c r="AE555" s="3"/>
      <c r="AO555" s="3"/>
    </row>
    <row r="556" ht="14.25" customHeight="1">
      <c r="C556" s="9"/>
      <c r="D556" s="9"/>
      <c r="E556" s="9"/>
      <c r="F556" s="9"/>
      <c r="G556" s="9"/>
      <c r="H556" s="16"/>
      <c r="I556" s="9"/>
      <c r="K556" s="3"/>
      <c r="U556" s="3"/>
      <c r="AE556" s="3"/>
      <c r="AO556" s="3"/>
    </row>
    <row r="557" ht="14.25" customHeight="1">
      <c r="C557" s="9"/>
      <c r="D557" s="9"/>
      <c r="E557" s="9"/>
      <c r="F557" s="9"/>
      <c r="G557" s="9"/>
      <c r="H557" s="16"/>
      <c r="I557" s="9"/>
      <c r="K557" s="3"/>
      <c r="U557" s="3"/>
      <c r="AE557" s="3"/>
      <c r="AO557" s="3"/>
    </row>
    <row r="558" ht="14.25" customHeight="1">
      <c r="C558" s="9"/>
      <c r="D558" s="9"/>
      <c r="E558" s="9"/>
      <c r="F558" s="9"/>
      <c r="G558" s="9"/>
      <c r="H558" s="16"/>
      <c r="I558" s="9"/>
      <c r="K558" s="3"/>
      <c r="U558" s="3"/>
      <c r="AE558" s="3"/>
      <c r="AO558" s="3"/>
    </row>
    <row r="559" ht="14.25" customHeight="1">
      <c r="C559" s="9"/>
      <c r="D559" s="9"/>
      <c r="E559" s="9"/>
      <c r="F559" s="9"/>
      <c r="G559" s="9"/>
      <c r="H559" s="16"/>
      <c r="I559" s="9"/>
      <c r="K559" s="3"/>
      <c r="U559" s="3"/>
      <c r="AE559" s="3"/>
      <c r="AO559" s="3"/>
    </row>
    <row r="560" ht="14.25" customHeight="1">
      <c r="C560" s="9"/>
      <c r="D560" s="9"/>
      <c r="E560" s="9"/>
      <c r="F560" s="9"/>
      <c r="G560" s="9"/>
      <c r="H560" s="16"/>
      <c r="I560" s="9"/>
      <c r="K560" s="3"/>
      <c r="U560" s="3"/>
      <c r="AE560" s="3"/>
      <c r="AO560" s="3"/>
    </row>
    <row r="561" ht="14.25" customHeight="1">
      <c r="C561" s="9"/>
      <c r="D561" s="9"/>
      <c r="E561" s="9"/>
      <c r="F561" s="9"/>
      <c r="G561" s="9"/>
      <c r="H561" s="16"/>
      <c r="I561" s="9"/>
      <c r="K561" s="3"/>
      <c r="U561" s="3"/>
      <c r="AE561" s="3"/>
      <c r="AO561" s="3"/>
    </row>
    <row r="562" ht="14.25" customHeight="1">
      <c r="C562" s="9"/>
      <c r="D562" s="9"/>
      <c r="E562" s="9"/>
      <c r="F562" s="9"/>
      <c r="G562" s="9"/>
      <c r="H562" s="16"/>
      <c r="I562" s="9"/>
      <c r="K562" s="3"/>
      <c r="U562" s="3"/>
      <c r="AE562" s="3"/>
      <c r="AO562" s="3"/>
    </row>
    <row r="563" ht="14.25" customHeight="1">
      <c r="C563" s="9"/>
      <c r="D563" s="9"/>
      <c r="E563" s="9"/>
      <c r="F563" s="9"/>
      <c r="G563" s="9"/>
      <c r="H563" s="16"/>
      <c r="I563" s="9"/>
      <c r="K563" s="3"/>
      <c r="U563" s="3"/>
      <c r="AE563" s="3"/>
      <c r="AO563" s="3"/>
    </row>
    <row r="564" ht="14.25" customHeight="1">
      <c r="C564" s="9"/>
      <c r="D564" s="9"/>
      <c r="E564" s="9"/>
      <c r="F564" s="9"/>
      <c r="G564" s="9"/>
      <c r="H564" s="16"/>
      <c r="I564" s="9"/>
      <c r="K564" s="3"/>
      <c r="U564" s="3"/>
      <c r="AE564" s="3"/>
      <c r="AO564" s="3"/>
    </row>
    <row r="565" ht="14.25" customHeight="1">
      <c r="C565" s="9"/>
      <c r="D565" s="9"/>
      <c r="E565" s="9"/>
      <c r="F565" s="9"/>
      <c r="G565" s="9"/>
      <c r="H565" s="16"/>
      <c r="I565" s="9"/>
      <c r="K565" s="3"/>
      <c r="U565" s="3"/>
      <c r="AE565" s="3"/>
      <c r="AO565" s="3"/>
    </row>
    <row r="566" ht="14.25" customHeight="1">
      <c r="C566" s="9"/>
      <c r="D566" s="9"/>
      <c r="E566" s="9"/>
      <c r="F566" s="9"/>
      <c r="G566" s="9"/>
      <c r="H566" s="16"/>
      <c r="I566" s="9"/>
      <c r="K566" s="3"/>
      <c r="U566" s="3"/>
      <c r="AE566" s="3"/>
      <c r="AO566" s="3"/>
    </row>
    <row r="567" ht="14.25" customHeight="1">
      <c r="C567" s="9"/>
      <c r="D567" s="9"/>
      <c r="E567" s="9"/>
      <c r="F567" s="9"/>
      <c r="G567" s="9"/>
      <c r="H567" s="16"/>
      <c r="I567" s="9"/>
      <c r="K567" s="3"/>
      <c r="U567" s="3"/>
      <c r="AE567" s="3"/>
      <c r="AO567" s="3"/>
    </row>
    <row r="568" ht="14.25" customHeight="1">
      <c r="C568" s="9"/>
      <c r="D568" s="9"/>
      <c r="E568" s="9"/>
      <c r="F568" s="9"/>
      <c r="G568" s="9"/>
      <c r="H568" s="16"/>
      <c r="I568" s="9"/>
      <c r="K568" s="3"/>
      <c r="U568" s="3"/>
      <c r="AE568" s="3"/>
      <c r="AO568" s="3"/>
    </row>
    <row r="569" ht="14.25" customHeight="1">
      <c r="C569" s="9"/>
      <c r="D569" s="9"/>
      <c r="E569" s="9"/>
      <c r="F569" s="9"/>
      <c r="G569" s="9"/>
      <c r="H569" s="16"/>
      <c r="I569" s="9"/>
      <c r="K569" s="3"/>
      <c r="U569" s="3"/>
      <c r="AE569" s="3"/>
      <c r="AO569" s="3"/>
    </row>
    <row r="570" ht="14.25" customHeight="1">
      <c r="C570" s="9"/>
      <c r="D570" s="9"/>
      <c r="E570" s="9"/>
      <c r="F570" s="9"/>
      <c r="G570" s="9"/>
      <c r="H570" s="16"/>
      <c r="I570" s="9"/>
      <c r="K570" s="3"/>
      <c r="U570" s="3"/>
      <c r="AE570" s="3"/>
      <c r="AO570" s="3"/>
    </row>
    <row r="571" ht="14.25" customHeight="1">
      <c r="C571" s="9"/>
      <c r="D571" s="9"/>
      <c r="E571" s="9"/>
      <c r="F571" s="9"/>
      <c r="G571" s="9"/>
      <c r="H571" s="16"/>
      <c r="I571" s="9"/>
      <c r="K571" s="3"/>
      <c r="U571" s="3"/>
      <c r="AE571" s="3"/>
      <c r="AO571" s="3"/>
    </row>
    <row r="572" ht="14.25" customHeight="1">
      <c r="C572" s="9"/>
      <c r="D572" s="9"/>
      <c r="E572" s="9"/>
      <c r="F572" s="9"/>
      <c r="G572" s="9"/>
      <c r="H572" s="16"/>
      <c r="I572" s="9"/>
      <c r="K572" s="3"/>
      <c r="U572" s="3"/>
      <c r="AE572" s="3"/>
      <c r="AO572" s="3"/>
    </row>
    <row r="573" ht="14.25" customHeight="1">
      <c r="C573" s="9"/>
      <c r="D573" s="9"/>
      <c r="E573" s="9"/>
      <c r="F573" s="9"/>
      <c r="G573" s="9"/>
      <c r="H573" s="16"/>
      <c r="I573" s="9"/>
      <c r="K573" s="3"/>
      <c r="U573" s="3"/>
      <c r="AE573" s="3"/>
      <c r="AO573" s="3"/>
    </row>
    <row r="574" ht="14.25" customHeight="1">
      <c r="C574" s="9"/>
      <c r="D574" s="9"/>
      <c r="E574" s="9"/>
      <c r="F574" s="9"/>
      <c r="G574" s="9"/>
      <c r="H574" s="16"/>
      <c r="I574" s="9"/>
      <c r="K574" s="3"/>
      <c r="U574" s="3"/>
      <c r="AE574" s="3"/>
      <c r="AO574" s="3"/>
    </row>
    <row r="575" ht="14.25" customHeight="1">
      <c r="C575" s="9"/>
      <c r="D575" s="9"/>
      <c r="E575" s="9"/>
      <c r="F575" s="9"/>
      <c r="G575" s="9"/>
      <c r="H575" s="16"/>
      <c r="I575" s="9"/>
      <c r="K575" s="3"/>
      <c r="U575" s="3"/>
      <c r="AE575" s="3"/>
      <c r="AO575" s="3"/>
    </row>
    <row r="576" ht="14.25" customHeight="1">
      <c r="C576" s="9"/>
      <c r="D576" s="9"/>
      <c r="E576" s="9"/>
      <c r="F576" s="9"/>
      <c r="G576" s="9"/>
      <c r="H576" s="16"/>
      <c r="I576" s="9"/>
      <c r="K576" s="3"/>
      <c r="U576" s="3"/>
      <c r="AE576" s="3"/>
      <c r="AO576" s="3"/>
    </row>
    <row r="577" ht="14.25" customHeight="1">
      <c r="C577" s="9"/>
      <c r="D577" s="9"/>
      <c r="E577" s="9"/>
      <c r="F577" s="9"/>
      <c r="G577" s="9"/>
      <c r="H577" s="16"/>
      <c r="I577" s="9"/>
      <c r="K577" s="3"/>
      <c r="U577" s="3"/>
      <c r="AE577" s="3"/>
      <c r="AO577" s="3"/>
    </row>
    <row r="578" ht="14.25" customHeight="1">
      <c r="C578" s="9"/>
      <c r="D578" s="9"/>
      <c r="E578" s="9"/>
      <c r="F578" s="9"/>
      <c r="G578" s="9"/>
      <c r="H578" s="16"/>
      <c r="I578" s="9"/>
      <c r="K578" s="3"/>
      <c r="U578" s="3"/>
      <c r="AE578" s="3"/>
      <c r="AO578" s="3"/>
    </row>
    <row r="579" ht="14.25" customHeight="1">
      <c r="C579" s="9"/>
      <c r="D579" s="9"/>
      <c r="E579" s="9"/>
      <c r="F579" s="9"/>
      <c r="G579" s="9"/>
      <c r="H579" s="16"/>
      <c r="I579" s="9"/>
      <c r="K579" s="3"/>
      <c r="U579" s="3"/>
      <c r="AE579" s="3"/>
      <c r="AO579" s="3"/>
    </row>
    <row r="580" ht="14.25" customHeight="1">
      <c r="C580" s="9"/>
      <c r="D580" s="9"/>
      <c r="E580" s="9"/>
      <c r="F580" s="9"/>
      <c r="G580" s="9"/>
      <c r="H580" s="16"/>
      <c r="I580" s="9"/>
      <c r="K580" s="3"/>
      <c r="U580" s="3"/>
      <c r="AE580" s="3"/>
      <c r="AO580" s="3"/>
    </row>
    <row r="581" ht="14.25" customHeight="1">
      <c r="C581" s="9"/>
      <c r="D581" s="9"/>
      <c r="E581" s="9"/>
      <c r="F581" s="9"/>
      <c r="G581" s="9"/>
      <c r="H581" s="16"/>
      <c r="I581" s="9"/>
      <c r="K581" s="3"/>
      <c r="U581" s="3"/>
      <c r="AE581" s="3"/>
      <c r="AO581" s="3"/>
    </row>
    <row r="582" ht="14.25" customHeight="1">
      <c r="C582" s="9"/>
      <c r="D582" s="9"/>
      <c r="E582" s="9"/>
      <c r="F582" s="9"/>
      <c r="G582" s="9"/>
      <c r="H582" s="16"/>
      <c r="I582" s="9"/>
      <c r="K582" s="3"/>
      <c r="U582" s="3"/>
      <c r="AE582" s="3"/>
      <c r="AO582" s="3"/>
    </row>
    <row r="583" ht="14.25" customHeight="1">
      <c r="C583" s="9"/>
      <c r="D583" s="9"/>
      <c r="E583" s="9"/>
      <c r="F583" s="9"/>
      <c r="G583" s="9"/>
      <c r="H583" s="16"/>
      <c r="I583" s="9"/>
      <c r="K583" s="3"/>
      <c r="U583" s="3"/>
      <c r="AE583" s="3"/>
      <c r="AO583" s="3"/>
    </row>
    <row r="584" ht="14.25" customHeight="1">
      <c r="C584" s="9"/>
      <c r="D584" s="9"/>
      <c r="E584" s="9"/>
      <c r="F584" s="9"/>
      <c r="G584" s="9"/>
      <c r="H584" s="16"/>
      <c r="I584" s="9"/>
      <c r="K584" s="3"/>
      <c r="U584" s="3"/>
      <c r="AE584" s="3"/>
      <c r="AO584" s="3"/>
    </row>
    <row r="585" ht="14.25" customHeight="1">
      <c r="C585" s="9"/>
      <c r="D585" s="9"/>
      <c r="E585" s="9"/>
      <c r="F585" s="9"/>
      <c r="G585" s="9"/>
      <c r="H585" s="16"/>
      <c r="I585" s="9"/>
      <c r="K585" s="3"/>
      <c r="U585" s="3"/>
      <c r="AE585" s="3"/>
      <c r="AO585" s="3"/>
    </row>
    <row r="586" ht="14.25" customHeight="1">
      <c r="C586" s="9"/>
      <c r="D586" s="9"/>
      <c r="E586" s="9"/>
      <c r="F586" s="9"/>
      <c r="G586" s="9"/>
      <c r="H586" s="16"/>
      <c r="I586" s="9"/>
      <c r="K586" s="3"/>
      <c r="U586" s="3"/>
      <c r="AE586" s="3"/>
      <c r="AO586" s="3"/>
    </row>
    <row r="587" ht="14.25" customHeight="1">
      <c r="C587" s="9"/>
      <c r="D587" s="9"/>
      <c r="E587" s="9"/>
      <c r="F587" s="9"/>
      <c r="G587" s="9"/>
      <c r="H587" s="16"/>
      <c r="I587" s="9"/>
      <c r="K587" s="3"/>
      <c r="U587" s="3"/>
      <c r="AE587" s="3"/>
      <c r="AO587" s="3"/>
    </row>
    <row r="588" ht="14.25" customHeight="1">
      <c r="C588" s="9"/>
      <c r="D588" s="9"/>
      <c r="E588" s="9"/>
      <c r="F588" s="9"/>
      <c r="G588" s="9"/>
      <c r="H588" s="16"/>
      <c r="I588" s="9"/>
      <c r="K588" s="3"/>
      <c r="U588" s="3"/>
      <c r="AE588" s="3"/>
      <c r="AO588" s="3"/>
    </row>
    <row r="589" ht="14.25" customHeight="1">
      <c r="C589" s="9"/>
      <c r="D589" s="9"/>
      <c r="E589" s="9"/>
      <c r="F589" s="9"/>
      <c r="G589" s="9"/>
      <c r="H589" s="16"/>
      <c r="I589" s="9"/>
      <c r="K589" s="3"/>
      <c r="U589" s="3"/>
      <c r="AE589" s="3"/>
      <c r="AO589" s="3"/>
    </row>
    <row r="590" ht="14.25" customHeight="1">
      <c r="C590" s="9"/>
      <c r="D590" s="9"/>
      <c r="E590" s="9"/>
      <c r="F590" s="9"/>
      <c r="G590" s="9"/>
      <c r="H590" s="16"/>
      <c r="I590" s="9"/>
      <c r="K590" s="3"/>
      <c r="U590" s="3"/>
      <c r="AE590" s="3"/>
      <c r="AO590" s="3"/>
    </row>
    <row r="591" ht="14.25" customHeight="1">
      <c r="C591" s="9"/>
      <c r="D591" s="9"/>
      <c r="E591" s="9"/>
      <c r="F591" s="9"/>
      <c r="G591" s="9"/>
      <c r="H591" s="16"/>
      <c r="I591" s="9"/>
      <c r="K591" s="3"/>
      <c r="U591" s="3"/>
      <c r="AE591" s="3"/>
      <c r="AO591" s="3"/>
    </row>
    <row r="592" ht="14.25" customHeight="1">
      <c r="C592" s="9"/>
      <c r="D592" s="9"/>
      <c r="E592" s="9"/>
      <c r="F592" s="9"/>
      <c r="G592" s="9"/>
      <c r="H592" s="16"/>
      <c r="I592" s="9"/>
      <c r="K592" s="3"/>
      <c r="U592" s="3"/>
      <c r="AE592" s="3"/>
      <c r="AO592" s="3"/>
    </row>
    <row r="593" ht="14.25" customHeight="1">
      <c r="C593" s="9"/>
      <c r="D593" s="9"/>
      <c r="E593" s="9"/>
      <c r="F593" s="9"/>
      <c r="G593" s="9"/>
      <c r="H593" s="16"/>
      <c r="I593" s="9"/>
      <c r="K593" s="3"/>
      <c r="U593" s="3"/>
      <c r="AE593" s="3"/>
      <c r="AO593" s="3"/>
    </row>
    <row r="594" ht="14.25" customHeight="1">
      <c r="C594" s="9"/>
      <c r="D594" s="9"/>
      <c r="E594" s="9"/>
      <c r="F594" s="9"/>
      <c r="G594" s="9"/>
      <c r="H594" s="16"/>
      <c r="I594" s="9"/>
      <c r="K594" s="3"/>
      <c r="U594" s="3"/>
      <c r="AE594" s="3"/>
      <c r="AO594" s="3"/>
    </row>
    <row r="595" ht="14.25" customHeight="1">
      <c r="C595" s="9"/>
      <c r="D595" s="9"/>
      <c r="E595" s="9"/>
      <c r="F595" s="9"/>
      <c r="G595" s="9"/>
      <c r="H595" s="16"/>
      <c r="I595" s="9"/>
      <c r="K595" s="3"/>
      <c r="U595" s="3"/>
      <c r="AE595" s="3"/>
      <c r="AO595" s="3"/>
    </row>
    <row r="596" ht="14.25" customHeight="1">
      <c r="C596" s="9"/>
      <c r="D596" s="9"/>
      <c r="E596" s="9"/>
      <c r="F596" s="9"/>
      <c r="G596" s="9"/>
      <c r="H596" s="16"/>
      <c r="I596" s="9"/>
      <c r="K596" s="3"/>
      <c r="U596" s="3"/>
      <c r="AE596" s="3"/>
      <c r="AO596" s="3"/>
    </row>
    <row r="597" ht="14.25" customHeight="1">
      <c r="C597" s="9"/>
      <c r="D597" s="9"/>
      <c r="E597" s="9"/>
      <c r="F597" s="9"/>
      <c r="G597" s="9"/>
      <c r="H597" s="16"/>
      <c r="I597" s="9"/>
      <c r="K597" s="3"/>
      <c r="U597" s="3"/>
      <c r="AE597" s="3"/>
      <c r="AO597" s="3"/>
    </row>
    <row r="598" ht="14.25" customHeight="1">
      <c r="C598" s="9"/>
      <c r="D598" s="9"/>
      <c r="E598" s="9"/>
      <c r="F598" s="9"/>
      <c r="G598" s="9"/>
      <c r="H598" s="16"/>
      <c r="I598" s="9"/>
      <c r="K598" s="3"/>
      <c r="U598" s="3"/>
      <c r="AE598" s="3"/>
      <c r="AO598" s="3"/>
    </row>
    <row r="599" ht="14.25" customHeight="1">
      <c r="C599" s="9"/>
      <c r="D599" s="9"/>
      <c r="E599" s="9"/>
      <c r="F599" s="9"/>
      <c r="G599" s="9"/>
      <c r="H599" s="16"/>
      <c r="I599" s="9"/>
      <c r="K599" s="3"/>
      <c r="U599" s="3"/>
      <c r="AE599" s="3"/>
      <c r="AO599" s="3"/>
    </row>
    <row r="600" ht="14.25" customHeight="1">
      <c r="C600" s="9"/>
      <c r="D600" s="9"/>
      <c r="E600" s="9"/>
      <c r="F600" s="9"/>
      <c r="G600" s="9"/>
      <c r="H600" s="16"/>
      <c r="I600" s="9"/>
      <c r="K600" s="3"/>
      <c r="U600" s="3"/>
      <c r="AE600" s="3"/>
      <c r="AO600" s="3"/>
    </row>
    <row r="601" ht="14.25" customHeight="1">
      <c r="C601" s="9"/>
      <c r="D601" s="9"/>
      <c r="E601" s="9"/>
      <c r="F601" s="9"/>
      <c r="G601" s="9"/>
      <c r="H601" s="16"/>
      <c r="I601" s="9"/>
      <c r="K601" s="3"/>
      <c r="U601" s="3"/>
      <c r="AE601" s="3"/>
      <c r="AO601" s="3"/>
    </row>
    <row r="602" ht="14.25" customHeight="1">
      <c r="C602" s="9"/>
      <c r="D602" s="9"/>
      <c r="E602" s="9"/>
      <c r="F602" s="9"/>
      <c r="G602" s="9"/>
      <c r="H602" s="16"/>
      <c r="I602" s="9"/>
      <c r="K602" s="3"/>
      <c r="U602" s="3"/>
      <c r="AE602" s="3"/>
      <c r="AO602" s="3"/>
    </row>
    <row r="603" ht="14.25" customHeight="1">
      <c r="C603" s="9"/>
      <c r="D603" s="9"/>
      <c r="E603" s="9"/>
      <c r="F603" s="9"/>
      <c r="G603" s="9"/>
      <c r="H603" s="16"/>
      <c r="I603" s="9"/>
      <c r="K603" s="3"/>
      <c r="U603" s="3"/>
      <c r="AE603" s="3"/>
      <c r="AO603" s="3"/>
    </row>
    <row r="604" ht="14.25" customHeight="1">
      <c r="C604" s="9"/>
      <c r="D604" s="9"/>
      <c r="E604" s="9"/>
      <c r="F604" s="9"/>
      <c r="G604" s="9"/>
      <c r="H604" s="16"/>
      <c r="I604" s="9"/>
      <c r="K604" s="3"/>
      <c r="U604" s="3"/>
      <c r="AE604" s="3"/>
      <c r="AO604" s="3"/>
    </row>
    <row r="605" ht="14.25" customHeight="1">
      <c r="C605" s="9"/>
      <c r="D605" s="9"/>
      <c r="E605" s="9"/>
      <c r="F605" s="9"/>
      <c r="G605" s="9"/>
      <c r="H605" s="16"/>
      <c r="I605" s="9"/>
      <c r="K605" s="3"/>
      <c r="U605" s="3"/>
      <c r="AE605" s="3"/>
      <c r="AO605" s="3"/>
    </row>
    <row r="606" ht="14.25" customHeight="1">
      <c r="C606" s="9"/>
      <c r="D606" s="9"/>
      <c r="E606" s="9"/>
      <c r="F606" s="9"/>
      <c r="G606" s="9"/>
      <c r="H606" s="16"/>
      <c r="I606" s="9"/>
      <c r="K606" s="3"/>
      <c r="U606" s="3"/>
      <c r="AE606" s="3"/>
      <c r="AO606" s="3"/>
    </row>
    <row r="607" ht="14.25" customHeight="1">
      <c r="C607" s="9"/>
      <c r="D607" s="9"/>
      <c r="E607" s="9"/>
      <c r="F607" s="9"/>
      <c r="G607" s="9"/>
      <c r="H607" s="16"/>
      <c r="I607" s="9"/>
      <c r="K607" s="3"/>
      <c r="U607" s="3"/>
      <c r="AE607" s="3"/>
      <c r="AO607" s="3"/>
    </row>
    <row r="608" ht="14.25" customHeight="1">
      <c r="C608" s="9"/>
      <c r="D608" s="9"/>
      <c r="E608" s="9"/>
      <c r="F608" s="9"/>
      <c r="G608" s="9"/>
      <c r="H608" s="16"/>
      <c r="I608" s="9"/>
      <c r="K608" s="3"/>
      <c r="U608" s="3"/>
      <c r="AE608" s="3"/>
      <c r="AO608" s="3"/>
    </row>
    <row r="609" ht="14.25" customHeight="1">
      <c r="C609" s="9"/>
      <c r="D609" s="9"/>
      <c r="E609" s="9"/>
      <c r="F609" s="9"/>
      <c r="G609" s="9"/>
      <c r="H609" s="16"/>
      <c r="I609" s="9"/>
      <c r="K609" s="3"/>
      <c r="U609" s="3"/>
      <c r="AE609" s="3"/>
      <c r="AO609" s="3"/>
    </row>
    <row r="610" ht="14.25" customHeight="1">
      <c r="C610" s="9"/>
      <c r="D610" s="9"/>
      <c r="E610" s="9"/>
      <c r="F610" s="9"/>
      <c r="G610" s="9"/>
      <c r="H610" s="16"/>
      <c r="I610" s="9"/>
      <c r="K610" s="3"/>
      <c r="U610" s="3"/>
      <c r="AE610" s="3"/>
      <c r="AO610" s="3"/>
    </row>
    <row r="611" ht="14.25" customHeight="1">
      <c r="C611" s="9"/>
      <c r="D611" s="9"/>
      <c r="E611" s="9"/>
      <c r="F611" s="9"/>
      <c r="G611" s="9"/>
      <c r="H611" s="16"/>
      <c r="I611" s="9"/>
      <c r="K611" s="3"/>
      <c r="U611" s="3"/>
      <c r="AE611" s="3"/>
      <c r="AO611" s="3"/>
    </row>
    <row r="612" ht="14.25" customHeight="1">
      <c r="C612" s="9"/>
      <c r="D612" s="9"/>
      <c r="E612" s="9"/>
      <c r="F612" s="9"/>
      <c r="G612" s="9"/>
      <c r="H612" s="16"/>
      <c r="I612" s="9"/>
      <c r="K612" s="3"/>
      <c r="U612" s="3"/>
      <c r="AE612" s="3"/>
      <c r="AO612" s="3"/>
    </row>
    <row r="613" ht="14.25" customHeight="1">
      <c r="C613" s="9"/>
      <c r="D613" s="9"/>
      <c r="E613" s="9"/>
      <c r="F613" s="9"/>
      <c r="G613" s="9"/>
      <c r="H613" s="16"/>
      <c r="I613" s="9"/>
      <c r="K613" s="3"/>
      <c r="U613" s="3"/>
      <c r="AE613" s="3"/>
      <c r="AO613" s="3"/>
    </row>
    <row r="614" ht="14.25" customHeight="1">
      <c r="C614" s="9"/>
      <c r="D614" s="9"/>
      <c r="E614" s="9"/>
      <c r="F614" s="9"/>
      <c r="G614" s="9"/>
      <c r="H614" s="16"/>
      <c r="I614" s="9"/>
      <c r="K614" s="3"/>
      <c r="U614" s="3"/>
      <c r="AE614" s="3"/>
      <c r="AO614" s="3"/>
    </row>
    <row r="615" ht="14.25" customHeight="1">
      <c r="C615" s="9"/>
      <c r="D615" s="9"/>
      <c r="E615" s="9"/>
      <c r="F615" s="9"/>
      <c r="G615" s="9"/>
      <c r="H615" s="16"/>
      <c r="I615" s="9"/>
      <c r="K615" s="3"/>
      <c r="U615" s="3"/>
      <c r="AE615" s="3"/>
      <c r="AO615" s="3"/>
    </row>
    <row r="616" ht="14.25" customHeight="1">
      <c r="C616" s="9"/>
      <c r="D616" s="9"/>
      <c r="E616" s="9"/>
      <c r="F616" s="9"/>
      <c r="G616" s="9"/>
      <c r="H616" s="16"/>
      <c r="I616" s="9"/>
      <c r="K616" s="3"/>
      <c r="U616" s="3"/>
      <c r="AE616" s="3"/>
      <c r="AO616" s="3"/>
    </row>
    <row r="617" ht="14.25" customHeight="1">
      <c r="C617" s="9"/>
      <c r="D617" s="9"/>
      <c r="E617" s="9"/>
      <c r="F617" s="9"/>
      <c r="G617" s="9"/>
      <c r="H617" s="16"/>
      <c r="I617" s="9"/>
      <c r="K617" s="3"/>
      <c r="U617" s="3"/>
      <c r="AE617" s="3"/>
      <c r="AO617" s="3"/>
    </row>
    <row r="618" ht="14.25" customHeight="1">
      <c r="C618" s="9"/>
      <c r="D618" s="9"/>
      <c r="E618" s="9"/>
      <c r="F618" s="9"/>
      <c r="G618" s="9"/>
      <c r="H618" s="16"/>
      <c r="I618" s="9"/>
      <c r="K618" s="3"/>
      <c r="U618" s="3"/>
      <c r="AE618" s="3"/>
      <c r="AO618" s="3"/>
    </row>
    <row r="619" ht="14.25" customHeight="1">
      <c r="C619" s="9"/>
      <c r="D619" s="9"/>
      <c r="E619" s="9"/>
      <c r="F619" s="9"/>
      <c r="G619" s="9"/>
      <c r="H619" s="16"/>
      <c r="I619" s="9"/>
      <c r="K619" s="3"/>
      <c r="U619" s="3"/>
      <c r="AE619" s="3"/>
      <c r="AO619" s="3"/>
    </row>
    <row r="620" ht="14.25" customHeight="1">
      <c r="C620" s="9"/>
      <c r="D620" s="9"/>
      <c r="E620" s="9"/>
      <c r="F620" s="9"/>
      <c r="G620" s="9"/>
      <c r="H620" s="16"/>
      <c r="I620" s="9"/>
      <c r="K620" s="3"/>
      <c r="U620" s="3"/>
      <c r="AE620" s="3"/>
      <c r="AO620" s="3"/>
    </row>
    <row r="621" ht="14.25" customHeight="1">
      <c r="C621" s="9"/>
      <c r="D621" s="9"/>
      <c r="E621" s="9"/>
      <c r="F621" s="9"/>
      <c r="G621" s="9"/>
      <c r="H621" s="16"/>
      <c r="I621" s="9"/>
      <c r="K621" s="3"/>
      <c r="U621" s="3"/>
      <c r="AE621" s="3"/>
      <c r="AO621" s="3"/>
    </row>
    <row r="622" ht="14.25" customHeight="1">
      <c r="C622" s="9"/>
      <c r="D622" s="9"/>
      <c r="E622" s="9"/>
      <c r="F622" s="9"/>
      <c r="G622" s="9"/>
      <c r="H622" s="16"/>
      <c r="I622" s="9"/>
      <c r="K622" s="3"/>
      <c r="U622" s="3"/>
      <c r="AE622" s="3"/>
      <c r="AO622" s="3"/>
    </row>
    <row r="623" ht="14.25" customHeight="1">
      <c r="C623" s="9"/>
      <c r="D623" s="9"/>
      <c r="E623" s="9"/>
      <c r="F623" s="9"/>
      <c r="G623" s="9"/>
      <c r="H623" s="16"/>
      <c r="I623" s="9"/>
      <c r="K623" s="3"/>
      <c r="U623" s="3"/>
      <c r="AE623" s="3"/>
      <c r="AO623" s="3"/>
    </row>
    <row r="624" ht="14.25" customHeight="1">
      <c r="C624" s="9"/>
      <c r="D624" s="9"/>
      <c r="E624" s="9"/>
      <c r="F624" s="9"/>
      <c r="G624" s="9"/>
      <c r="H624" s="16"/>
      <c r="I624" s="9"/>
      <c r="K624" s="3"/>
      <c r="U624" s="3"/>
      <c r="AE624" s="3"/>
      <c r="AO624" s="3"/>
    </row>
    <row r="625" ht="14.25" customHeight="1">
      <c r="C625" s="9"/>
      <c r="D625" s="9"/>
      <c r="E625" s="9"/>
      <c r="F625" s="9"/>
      <c r="G625" s="9"/>
      <c r="H625" s="16"/>
      <c r="I625" s="9"/>
      <c r="K625" s="3"/>
      <c r="U625" s="3"/>
      <c r="AE625" s="3"/>
      <c r="AO625" s="3"/>
    </row>
    <row r="626" ht="14.25" customHeight="1">
      <c r="C626" s="9"/>
      <c r="D626" s="9"/>
      <c r="E626" s="9"/>
      <c r="F626" s="9"/>
      <c r="G626" s="9"/>
      <c r="H626" s="16"/>
      <c r="I626" s="9"/>
      <c r="K626" s="3"/>
      <c r="U626" s="3"/>
      <c r="AE626" s="3"/>
      <c r="AO626" s="3"/>
    </row>
    <row r="627" ht="14.25" customHeight="1">
      <c r="C627" s="9"/>
      <c r="D627" s="9"/>
      <c r="E627" s="9"/>
      <c r="F627" s="9"/>
      <c r="G627" s="9"/>
      <c r="H627" s="16"/>
      <c r="I627" s="9"/>
      <c r="K627" s="3"/>
      <c r="U627" s="3"/>
      <c r="AE627" s="3"/>
      <c r="AO627" s="3"/>
    </row>
    <row r="628" ht="14.25" customHeight="1">
      <c r="C628" s="9"/>
      <c r="D628" s="9"/>
      <c r="E628" s="9"/>
      <c r="F628" s="9"/>
      <c r="G628" s="9"/>
      <c r="H628" s="16"/>
      <c r="I628" s="9"/>
      <c r="K628" s="3"/>
      <c r="U628" s="3"/>
      <c r="AE628" s="3"/>
      <c r="AO628" s="3"/>
    </row>
    <row r="629" ht="14.25" customHeight="1">
      <c r="C629" s="9"/>
      <c r="D629" s="9"/>
      <c r="E629" s="9"/>
      <c r="F629" s="9"/>
      <c r="G629" s="9"/>
      <c r="H629" s="16"/>
      <c r="I629" s="9"/>
      <c r="K629" s="3"/>
      <c r="U629" s="3"/>
      <c r="AE629" s="3"/>
      <c r="AO629" s="3"/>
    </row>
    <row r="630" ht="14.25" customHeight="1">
      <c r="C630" s="9"/>
      <c r="D630" s="9"/>
      <c r="E630" s="9"/>
      <c r="F630" s="9"/>
      <c r="G630" s="9"/>
      <c r="H630" s="16"/>
      <c r="I630" s="9"/>
      <c r="K630" s="3"/>
      <c r="U630" s="3"/>
      <c r="AE630" s="3"/>
      <c r="AO630" s="3"/>
    </row>
    <row r="631" ht="14.25" customHeight="1">
      <c r="C631" s="9"/>
      <c r="D631" s="9"/>
      <c r="E631" s="9"/>
      <c r="F631" s="9"/>
      <c r="G631" s="9"/>
      <c r="H631" s="16"/>
      <c r="I631" s="9"/>
      <c r="K631" s="3"/>
      <c r="U631" s="3"/>
      <c r="AE631" s="3"/>
      <c r="AO631" s="3"/>
    </row>
    <row r="632" ht="14.25" customHeight="1">
      <c r="C632" s="9"/>
      <c r="D632" s="9"/>
      <c r="E632" s="9"/>
      <c r="F632" s="9"/>
      <c r="G632" s="9"/>
      <c r="H632" s="16"/>
      <c r="I632" s="9"/>
      <c r="K632" s="3"/>
      <c r="U632" s="3"/>
      <c r="AE632" s="3"/>
      <c r="AO632" s="3"/>
    </row>
    <row r="633" ht="14.25" customHeight="1">
      <c r="C633" s="9"/>
      <c r="D633" s="9"/>
      <c r="E633" s="9"/>
      <c r="F633" s="9"/>
      <c r="G633" s="9"/>
      <c r="H633" s="16"/>
      <c r="I633" s="9"/>
      <c r="K633" s="3"/>
      <c r="U633" s="3"/>
      <c r="AE633" s="3"/>
      <c r="AO633" s="3"/>
    </row>
    <row r="634" ht="14.25" customHeight="1">
      <c r="C634" s="9"/>
      <c r="D634" s="9"/>
      <c r="E634" s="9"/>
      <c r="F634" s="9"/>
      <c r="G634" s="9"/>
      <c r="H634" s="16"/>
      <c r="I634" s="9"/>
      <c r="K634" s="3"/>
      <c r="U634" s="3"/>
      <c r="AE634" s="3"/>
      <c r="AO634" s="3"/>
    </row>
    <row r="635" ht="14.25" customHeight="1">
      <c r="C635" s="9"/>
      <c r="D635" s="9"/>
      <c r="E635" s="9"/>
      <c r="F635" s="9"/>
      <c r="G635" s="9"/>
      <c r="H635" s="16"/>
      <c r="I635" s="9"/>
      <c r="K635" s="3"/>
      <c r="U635" s="3"/>
      <c r="AE635" s="3"/>
      <c r="AO635" s="3"/>
    </row>
    <row r="636" ht="14.25" customHeight="1">
      <c r="C636" s="9"/>
      <c r="D636" s="9"/>
      <c r="E636" s="9"/>
      <c r="F636" s="9"/>
      <c r="G636" s="9"/>
      <c r="H636" s="16"/>
      <c r="I636" s="9"/>
      <c r="K636" s="3"/>
      <c r="U636" s="3"/>
      <c r="AE636" s="3"/>
      <c r="AO636" s="3"/>
    </row>
    <row r="637" ht="14.25" customHeight="1">
      <c r="C637" s="9"/>
      <c r="D637" s="9"/>
      <c r="E637" s="9"/>
      <c r="F637" s="9"/>
      <c r="G637" s="9"/>
      <c r="H637" s="16"/>
      <c r="I637" s="9"/>
      <c r="K637" s="3"/>
      <c r="U637" s="3"/>
      <c r="AE637" s="3"/>
      <c r="AO637" s="3"/>
    </row>
    <row r="638" ht="14.25" customHeight="1">
      <c r="C638" s="9"/>
      <c r="D638" s="9"/>
      <c r="E638" s="9"/>
      <c r="F638" s="9"/>
      <c r="G638" s="9"/>
      <c r="H638" s="16"/>
      <c r="I638" s="9"/>
      <c r="K638" s="3"/>
      <c r="U638" s="3"/>
      <c r="AE638" s="3"/>
      <c r="AO638" s="3"/>
    </row>
    <row r="639" ht="14.25" customHeight="1">
      <c r="C639" s="9"/>
      <c r="D639" s="9"/>
      <c r="E639" s="9"/>
      <c r="F639" s="9"/>
      <c r="G639" s="9"/>
      <c r="H639" s="16"/>
      <c r="I639" s="9"/>
      <c r="K639" s="3"/>
      <c r="U639" s="3"/>
      <c r="AE639" s="3"/>
      <c r="AO639" s="3"/>
    </row>
    <row r="640" ht="14.25" customHeight="1">
      <c r="C640" s="9"/>
      <c r="D640" s="9"/>
      <c r="E640" s="9"/>
      <c r="F640" s="9"/>
      <c r="G640" s="9"/>
      <c r="H640" s="16"/>
      <c r="I640" s="9"/>
      <c r="K640" s="3"/>
      <c r="U640" s="3"/>
      <c r="AE640" s="3"/>
      <c r="AO640" s="3"/>
    </row>
    <row r="641" ht="14.25" customHeight="1">
      <c r="C641" s="9"/>
      <c r="D641" s="9"/>
      <c r="E641" s="9"/>
      <c r="F641" s="9"/>
      <c r="G641" s="9"/>
      <c r="H641" s="16"/>
      <c r="I641" s="9"/>
      <c r="K641" s="3"/>
      <c r="U641" s="3"/>
      <c r="AE641" s="3"/>
      <c r="AO641" s="3"/>
    </row>
    <row r="642" ht="14.25" customHeight="1">
      <c r="C642" s="9"/>
      <c r="D642" s="9"/>
      <c r="E642" s="9"/>
      <c r="F642" s="9"/>
      <c r="G642" s="9"/>
      <c r="H642" s="16"/>
      <c r="I642" s="9"/>
      <c r="K642" s="3"/>
      <c r="U642" s="3"/>
      <c r="AE642" s="3"/>
      <c r="AO642" s="3"/>
    </row>
    <row r="643" ht="14.25" customHeight="1">
      <c r="C643" s="9"/>
      <c r="D643" s="9"/>
      <c r="E643" s="9"/>
      <c r="F643" s="9"/>
      <c r="G643" s="9"/>
      <c r="H643" s="16"/>
      <c r="I643" s="9"/>
      <c r="K643" s="3"/>
      <c r="U643" s="3"/>
      <c r="AE643" s="3"/>
      <c r="AO643" s="3"/>
    </row>
    <row r="644" ht="14.25" customHeight="1">
      <c r="C644" s="9"/>
      <c r="D644" s="9"/>
      <c r="E644" s="9"/>
      <c r="F644" s="9"/>
      <c r="G644" s="9"/>
      <c r="H644" s="16"/>
      <c r="I644" s="9"/>
      <c r="K644" s="3"/>
      <c r="U644" s="3"/>
      <c r="AE644" s="3"/>
      <c r="AO644" s="3"/>
    </row>
    <row r="645" ht="14.25" customHeight="1">
      <c r="C645" s="9"/>
      <c r="D645" s="9"/>
      <c r="E645" s="9"/>
      <c r="F645" s="9"/>
      <c r="G645" s="9"/>
      <c r="H645" s="16"/>
      <c r="I645" s="9"/>
      <c r="K645" s="3"/>
      <c r="U645" s="3"/>
      <c r="AE645" s="3"/>
      <c r="AO645" s="3"/>
    </row>
    <row r="646" ht="14.25" customHeight="1">
      <c r="C646" s="9"/>
      <c r="D646" s="9"/>
      <c r="E646" s="9"/>
      <c r="F646" s="9"/>
      <c r="G646" s="9"/>
      <c r="H646" s="16"/>
      <c r="I646" s="9"/>
      <c r="K646" s="3"/>
      <c r="U646" s="3"/>
      <c r="AE646" s="3"/>
      <c r="AO646" s="3"/>
    </row>
    <row r="647" ht="14.25" customHeight="1">
      <c r="C647" s="9"/>
      <c r="D647" s="9"/>
      <c r="E647" s="9"/>
      <c r="F647" s="9"/>
      <c r="G647" s="9"/>
      <c r="H647" s="16"/>
      <c r="I647" s="9"/>
      <c r="K647" s="3"/>
      <c r="U647" s="3"/>
      <c r="AE647" s="3"/>
      <c r="AO647" s="3"/>
    </row>
    <row r="648" ht="14.25" customHeight="1">
      <c r="C648" s="9"/>
      <c r="D648" s="9"/>
      <c r="E648" s="9"/>
      <c r="F648" s="9"/>
      <c r="G648" s="9"/>
      <c r="H648" s="16"/>
      <c r="I648" s="9"/>
      <c r="K648" s="3"/>
      <c r="U648" s="3"/>
      <c r="AE648" s="3"/>
      <c r="AO648" s="3"/>
    </row>
    <row r="649" ht="14.25" customHeight="1">
      <c r="C649" s="9"/>
      <c r="D649" s="9"/>
      <c r="E649" s="9"/>
      <c r="F649" s="9"/>
      <c r="G649" s="9"/>
      <c r="H649" s="16"/>
      <c r="I649" s="9"/>
      <c r="K649" s="3"/>
      <c r="U649" s="3"/>
      <c r="AE649" s="3"/>
      <c r="AO649" s="3"/>
    </row>
    <row r="650" ht="14.25" customHeight="1">
      <c r="C650" s="9"/>
      <c r="D650" s="9"/>
      <c r="E650" s="9"/>
      <c r="F650" s="9"/>
      <c r="G650" s="9"/>
      <c r="H650" s="16"/>
      <c r="I650" s="9"/>
      <c r="K650" s="3"/>
      <c r="U650" s="3"/>
      <c r="AE650" s="3"/>
      <c r="AO650" s="3"/>
    </row>
    <row r="651" ht="14.25" customHeight="1">
      <c r="C651" s="9"/>
      <c r="D651" s="9"/>
      <c r="E651" s="9"/>
      <c r="F651" s="9"/>
      <c r="G651" s="9"/>
      <c r="H651" s="16"/>
      <c r="I651" s="9"/>
      <c r="K651" s="3"/>
      <c r="U651" s="3"/>
      <c r="AE651" s="3"/>
      <c r="AO651" s="3"/>
    </row>
    <row r="652" ht="14.25" customHeight="1">
      <c r="C652" s="9"/>
      <c r="D652" s="9"/>
      <c r="E652" s="9"/>
      <c r="F652" s="9"/>
      <c r="G652" s="9"/>
      <c r="H652" s="16"/>
      <c r="I652" s="9"/>
      <c r="K652" s="3"/>
      <c r="U652" s="3"/>
      <c r="AE652" s="3"/>
      <c r="AO652" s="3"/>
    </row>
    <row r="653" ht="14.25" customHeight="1">
      <c r="C653" s="9"/>
      <c r="D653" s="9"/>
      <c r="E653" s="9"/>
      <c r="F653" s="9"/>
      <c r="G653" s="9"/>
      <c r="H653" s="16"/>
      <c r="I653" s="9"/>
      <c r="K653" s="3"/>
      <c r="U653" s="3"/>
      <c r="AE653" s="3"/>
      <c r="AO653" s="3"/>
    </row>
    <row r="654" ht="14.25" customHeight="1">
      <c r="C654" s="9"/>
      <c r="D654" s="9"/>
      <c r="E654" s="9"/>
      <c r="F654" s="9"/>
      <c r="G654" s="9"/>
      <c r="H654" s="16"/>
      <c r="I654" s="9"/>
      <c r="K654" s="3"/>
      <c r="U654" s="3"/>
      <c r="AE654" s="3"/>
      <c r="AO654" s="3"/>
    </row>
    <row r="655" ht="14.25" customHeight="1">
      <c r="C655" s="9"/>
      <c r="D655" s="9"/>
      <c r="E655" s="9"/>
      <c r="F655" s="9"/>
      <c r="G655" s="9"/>
      <c r="H655" s="16"/>
      <c r="I655" s="9"/>
      <c r="K655" s="3"/>
      <c r="U655" s="3"/>
      <c r="AE655" s="3"/>
      <c r="AO655" s="3"/>
    </row>
    <row r="656" ht="14.25" customHeight="1">
      <c r="C656" s="9"/>
      <c r="D656" s="9"/>
      <c r="E656" s="9"/>
      <c r="F656" s="9"/>
      <c r="G656" s="9"/>
      <c r="H656" s="16"/>
      <c r="I656" s="9"/>
      <c r="K656" s="3"/>
      <c r="U656" s="3"/>
      <c r="AE656" s="3"/>
      <c r="AO656" s="3"/>
    </row>
    <row r="657" ht="14.25" customHeight="1">
      <c r="C657" s="9"/>
      <c r="D657" s="9"/>
      <c r="E657" s="9"/>
      <c r="F657" s="9"/>
      <c r="G657" s="9"/>
      <c r="H657" s="16"/>
      <c r="I657" s="9"/>
      <c r="K657" s="3"/>
      <c r="U657" s="3"/>
      <c r="AE657" s="3"/>
      <c r="AO657" s="3"/>
    </row>
    <row r="658" ht="14.25" customHeight="1">
      <c r="C658" s="9"/>
      <c r="D658" s="9"/>
      <c r="E658" s="9"/>
      <c r="F658" s="9"/>
      <c r="G658" s="9"/>
      <c r="H658" s="16"/>
      <c r="I658" s="9"/>
      <c r="K658" s="3"/>
      <c r="U658" s="3"/>
      <c r="AE658" s="3"/>
      <c r="AO658" s="3"/>
    </row>
    <row r="659" ht="14.25" customHeight="1">
      <c r="C659" s="9"/>
      <c r="D659" s="9"/>
      <c r="E659" s="9"/>
      <c r="F659" s="9"/>
      <c r="G659" s="9"/>
      <c r="H659" s="16"/>
      <c r="I659" s="9"/>
      <c r="K659" s="3"/>
      <c r="U659" s="3"/>
      <c r="AE659" s="3"/>
      <c r="AO659" s="3"/>
    </row>
    <row r="660" ht="14.25" customHeight="1">
      <c r="C660" s="9"/>
      <c r="D660" s="9"/>
      <c r="E660" s="9"/>
      <c r="F660" s="9"/>
      <c r="G660" s="9"/>
      <c r="H660" s="16"/>
      <c r="I660" s="9"/>
      <c r="K660" s="3"/>
      <c r="U660" s="3"/>
      <c r="AE660" s="3"/>
      <c r="AO660" s="3"/>
    </row>
    <row r="661" ht="14.25" customHeight="1">
      <c r="C661" s="9"/>
      <c r="D661" s="9"/>
      <c r="E661" s="9"/>
      <c r="F661" s="9"/>
      <c r="G661" s="9"/>
      <c r="H661" s="16"/>
      <c r="I661" s="9"/>
      <c r="K661" s="3"/>
      <c r="U661" s="3"/>
      <c r="AE661" s="3"/>
      <c r="AO661" s="3"/>
    </row>
    <row r="662" ht="14.25" customHeight="1">
      <c r="C662" s="9"/>
      <c r="D662" s="9"/>
      <c r="E662" s="9"/>
      <c r="F662" s="9"/>
      <c r="G662" s="9"/>
      <c r="H662" s="16"/>
      <c r="I662" s="9"/>
      <c r="K662" s="3"/>
      <c r="U662" s="3"/>
      <c r="AE662" s="3"/>
      <c r="AO662" s="3"/>
    </row>
    <row r="663" ht="14.25" customHeight="1">
      <c r="C663" s="9"/>
      <c r="D663" s="9"/>
      <c r="E663" s="9"/>
      <c r="F663" s="9"/>
      <c r="G663" s="9"/>
      <c r="H663" s="16"/>
      <c r="I663" s="9"/>
      <c r="K663" s="3"/>
      <c r="U663" s="3"/>
      <c r="AE663" s="3"/>
      <c r="AO663" s="3"/>
    </row>
    <row r="664" ht="14.25" customHeight="1">
      <c r="C664" s="9"/>
      <c r="D664" s="9"/>
      <c r="E664" s="9"/>
      <c r="F664" s="9"/>
      <c r="G664" s="9"/>
      <c r="H664" s="16"/>
      <c r="I664" s="9"/>
      <c r="K664" s="3"/>
      <c r="U664" s="3"/>
      <c r="AE664" s="3"/>
      <c r="AO664" s="3"/>
    </row>
    <row r="665" ht="14.25" customHeight="1">
      <c r="C665" s="9"/>
      <c r="D665" s="9"/>
      <c r="E665" s="9"/>
      <c r="F665" s="9"/>
      <c r="G665" s="9"/>
      <c r="H665" s="16"/>
      <c r="I665" s="9"/>
      <c r="K665" s="3"/>
      <c r="U665" s="3"/>
      <c r="AE665" s="3"/>
      <c r="AO665" s="3"/>
    </row>
    <row r="666" ht="14.25" customHeight="1">
      <c r="C666" s="9"/>
      <c r="D666" s="9"/>
      <c r="E666" s="9"/>
      <c r="F666" s="9"/>
      <c r="G666" s="9"/>
      <c r="H666" s="16"/>
      <c r="I666" s="9"/>
      <c r="K666" s="3"/>
      <c r="U666" s="3"/>
      <c r="AE666" s="3"/>
      <c r="AO666" s="3"/>
    </row>
    <row r="667" ht="14.25" customHeight="1">
      <c r="C667" s="9"/>
      <c r="D667" s="9"/>
      <c r="E667" s="9"/>
      <c r="F667" s="9"/>
      <c r="G667" s="9"/>
      <c r="H667" s="16"/>
      <c r="I667" s="9"/>
      <c r="K667" s="3"/>
      <c r="U667" s="3"/>
      <c r="AE667" s="3"/>
      <c r="AO667" s="3"/>
    </row>
    <row r="668" ht="14.25" customHeight="1">
      <c r="C668" s="9"/>
      <c r="D668" s="9"/>
      <c r="E668" s="9"/>
      <c r="F668" s="9"/>
      <c r="G668" s="9"/>
      <c r="H668" s="16"/>
      <c r="I668" s="9"/>
      <c r="K668" s="3"/>
      <c r="U668" s="3"/>
      <c r="AE668" s="3"/>
      <c r="AO668" s="3"/>
    </row>
    <row r="669" ht="14.25" customHeight="1">
      <c r="C669" s="9"/>
      <c r="D669" s="9"/>
      <c r="E669" s="9"/>
      <c r="F669" s="9"/>
      <c r="G669" s="9"/>
      <c r="H669" s="16"/>
      <c r="I669" s="9"/>
      <c r="K669" s="3"/>
      <c r="U669" s="3"/>
      <c r="AE669" s="3"/>
      <c r="AO669" s="3"/>
    </row>
    <row r="670" ht="14.25" customHeight="1">
      <c r="C670" s="9"/>
      <c r="D670" s="9"/>
      <c r="E670" s="9"/>
      <c r="F670" s="9"/>
      <c r="G670" s="9"/>
      <c r="H670" s="16"/>
      <c r="I670" s="9"/>
      <c r="K670" s="3"/>
      <c r="U670" s="3"/>
      <c r="AE670" s="3"/>
      <c r="AO670" s="3"/>
    </row>
    <row r="671" ht="14.25" customHeight="1">
      <c r="C671" s="9"/>
      <c r="D671" s="9"/>
      <c r="E671" s="9"/>
      <c r="F671" s="9"/>
      <c r="G671" s="9"/>
      <c r="H671" s="16"/>
      <c r="I671" s="9"/>
      <c r="K671" s="3"/>
      <c r="U671" s="3"/>
      <c r="AE671" s="3"/>
      <c r="AO671" s="3"/>
    </row>
    <row r="672" ht="14.25" customHeight="1">
      <c r="C672" s="9"/>
      <c r="D672" s="9"/>
      <c r="E672" s="9"/>
      <c r="F672" s="9"/>
      <c r="G672" s="9"/>
      <c r="H672" s="16"/>
      <c r="I672" s="9"/>
      <c r="K672" s="3"/>
      <c r="U672" s="3"/>
      <c r="AE672" s="3"/>
      <c r="AO672" s="3"/>
    </row>
    <row r="673" ht="14.25" customHeight="1">
      <c r="C673" s="9"/>
      <c r="D673" s="9"/>
      <c r="E673" s="9"/>
      <c r="F673" s="9"/>
      <c r="G673" s="9"/>
      <c r="H673" s="16"/>
      <c r="I673" s="9"/>
      <c r="K673" s="3"/>
      <c r="U673" s="3"/>
      <c r="AE673" s="3"/>
      <c r="AO673" s="3"/>
    </row>
    <row r="674" ht="14.25" customHeight="1">
      <c r="C674" s="9"/>
      <c r="D674" s="9"/>
      <c r="E674" s="9"/>
      <c r="F674" s="9"/>
      <c r="G674" s="9"/>
      <c r="H674" s="16"/>
      <c r="I674" s="9"/>
      <c r="K674" s="3"/>
      <c r="U674" s="3"/>
      <c r="AE674" s="3"/>
      <c r="AO674" s="3"/>
    </row>
    <row r="675" ht="14.25" customHeight="1">
      <c r="C675" s="9"/>
      <c r="D675" s="9"/>
      <c r="E675" s="9"/>
      <c r="F675" s="9"/>
      <c r="G675" s="9"/>
      <c r="H675" s="16"/>
      <c r="I675" s="9"/>
      <c r="K675" s="3"/>
      <c r="U675" s="3"/>
      <c r="AE675" s="3"/>
      <c r="AO675" s="3"/>
    </row>
    <row r="676" ht="14.25" customHeight="1">
      <c r="C676" s="9"/>
      <c r="D676" s="9"/>
      <c r="E676" s="9"/>
      <c r="F676" s="9"/>
      <c r="G676" s="9"/>
      <c r="H676" s="16"/>
      <c r="I676" s="9"/>
      <c r="K676" s="3"/>
      <c r="U676" s="3"/>
      <c r="AE676" s="3"/>
      <c r="AO676" s="3"/>
    </row>
    <row r="677" ht="14.25" customHeight="1">
      <c r="C677" s="9"/>
      <c r="D677" s="9"/>
      <c r="E677" s="9"/>
      <c r="F677" s="9"/>
      <c r="G677" s="9"/>
      <c r="H677" s="16"/>
      <c r="I677" s="9"/>
      <c r="K677" s="3"/>
      <c r="U677" s="3"/>
      <c r="AE677" s="3"/>
      <c r="AO677" s="3"/>
    </row>
    <row r="678" ht="14.25" customHeight="1">
      <c r="C678" s="9"/>
      <c r="D678" s="9"/>
      <c r="E678" s="9"/>
      <c r="F678" s="9"/>
      <c r="G678" s="9"/>
      <c r="H678" s="16"/>
      <c r="I678" s="9"/>
      <c r="K678" s="3"/>
      <c r="U678" s="3"/>
      <c r="AE678" s="3"/>
      <c r="AO678" s="3"/>
    </row>
    <row r="679" ht="14.25" customHeight="1">
      <c r="C679" s="9"/>
      <c r="D679" s="9"/>
      <c r="E679" s="9"/>
      <c r="F679" s="9"/>
      <c r="G679" s="9"/>
      <c r="H679" s="16"/>
      <c r="I679" s="9"/>
      <c r="K679" s="3"/>
      <c r="U679" s="3"/>
      <c r="AE679" s="3"/>
      <c r="AO679" s="3"/>
    </row>
    <row r="680" ht="14.25" customHeight="1">
      <c r="C680" s="9"/>
      <c r="D680" s="9"/>
      <c r="E680" s="9"/>
      <c r="F680" s="9"/>
      <c r="G680" s="9"/>
      <c r="H680" s="16"/>
      <c r="I680" s="9"/>
      <c r="K680" s="3"/>
      <c r="U680" s="3"/>
      <c r="AE680" s="3"/>
      <c r="AO680" s="3"/>
    </row>
    <row r="681" ht="14.25" customHeight="1">
      <c r="C681" s="9"/>
      <c r="D681" s="9"/>
      <c r="E681" s="9"/>
      <c r="F681" s="9"/>
      <c r="G681" s="9"/>
      <c r="H681" s="16"/>
      <c r="I681" s="9"/>
      <c r="K681" s="3"/>
      <c r="U681" s="3"/>
      <c r="AE681" s="3"/>
      <c r="AO681" s="3"/>
    </row>
    <row r="682" ht="14.25" customHeight="1">
      <c r="C682" s="9"/>
      <c r="D682" s="9"/>
      <c r="E682" s="9"/>
      <c r="F682" s="9"/>
      <c r="G682" s="9"/>
      <c r="H682" s="16"/>
      <c r="I682" s="9"/>
      <c r="K682" s="3"/>
      <c r="U682" s="3"/>
      <c r="AE682" s="3"/>
      <c r="AO682" s="3"/>
    </row>
    <row r="683" ht="14.25" customHeight="1">
      <c r="C683" s="9"/>
      <c r="D683" s="9"/>
      <c r="E683" s="9"/>
      <c r="F683" s="9"/>
      <c r="G683" s="9"/>
      <c r="H683" s="16"/>
      <c r="I683" s="9"/>
      <c r="K683" s="3"/>
      <c r="U683" s="3"/>
      <c r="AE683" s="3"/>
      <c r="AO683" s="3"/>
    </row>
    <row r="684" ht="14.25" customHeight="1">
      <c r="C684" s="9"/>
      <c r="D684" s="9"/>
      <c r="E684" s="9"/>
      <c r="F684" s="9"/>
      <c r="G684" s="9"/>
      <c r="H684" s="16"/>
      <c r="I684" s="9"/>
      <c r="K684" s="3"/>
      <c r="U684" s="3"/>
      <c r="AE684" s="3"/>
      <c r="AO684" s="3"/>
    </row>
    <row r="685" ht="14.25" customHeight="1">
      <c r="C685" s="9"/>
      <c r="D685" s="9"/>
      <c r="E685" s="9"/>
      <c r="F685" s="9"/>
      <c r="G685" s="9"/>
      <c r="H685" s="16"/>
      <c r="I685" s="9"/>
      <c r="K685" s="3"/>
      <c r="U685" s="3"/>
      <c r="AE685" s="3"/>
      <c r="AO685" s="3"/>
    </row>
    <row r="686" ht="14.25" customHeight="1">
      <c r="C686" s="9"/>
      <c r="D686" s="9"/>
      <c r="E686" s="9"/>
      <c r="F686" s="9"/>
      <c r="G686" s="9"/>
      <c r="H686" s="16"/>
      <c r="I686" s="9"/>
      <c r="K686" s="3"/>
      <c r="U686" s="3"/>
      <c r="AE686" s="3"/>
      <c r="AO686" s="3"/>
    </row>
    <row r="687" ht="14.25" customHeight="1">
      <c r="C687" s="9"/>
      <c r="D687" s="9"/>
      <c r="E687" s="9"/>
      <c r="F687" s="9"/>
      <c r="G687" s="9"/>
      <c r="H687" s="16"/>
      <c r="I687" s="9"/>
      <c r="K687" s="3"/>
      <c r="U687" s="3"/>
      <c r="AE687" s="3"/>
      <c r="AO687" s="3"/>
    </row>
    <row r="688" ht="14.25" customHeight="1">
      <c r="C688" s="9"/>
      <c r="D688" s="9"/>
      <c r="E688" s="9"/>
      <c r="F688" s="9"/>
      <c r="G688" s="9"/>
      <c r="H688" s="16"/>
      <c r="I688" s="9"/>
      <c r="K688" s="3"/>
      <c r="U688" s="3"/>
      <c r="AE688" s="3"/>
      <c r="AO688" s="3"/>
    </row>
    <row r="689" ht="14.25" customHeight="1">
      <c r="C689" s="9"/>
      <c r="D689" s="9"/>
      <c r="E689" s="9"/>
      <c r="F689" s="9"/>
      <c r="G689" s="9"/>
      <c r="H689" s="16"/>
      <c r="I689" s="9"/>
      <c r="K689" s="3"/>
      <c r="U689" s="3"/>
      <c r="AE689" s="3"/>
      <c r="AO689" s="3"/>
    </row>
    <row r="690" ht="14.25" customHeight="1">
      <c r="C690" s="9"/>
      <c r="D690" s="9"/>
      <c r="E690" s="9"/>
      <c r="F690" s="9"/>
      <c r="G690" s="9"/>
      <c r="H690" s="16"/>
      <c r="I690" s="9"/>
      <c r="K690" s="3"/>
      <c r="U690" s="3"/>
      <c r="AE690" s="3"/>
      <c r="AO690" s="3"/>
    </row>
    <row r="691" ht="14.25" customHeight="1">
      <c r="C691" s="9"/>
      <c r="D691" s="9"/>
      <c r="E691" s="9"/>
      <c r="F691" s="9"/>
      <c r="G691" s="9"/>
      <c r="H691" s="16"/>
      <c r="I691" s="9"/>
      <c r="K691" s="3"/>
      <c r="U691" s="3"/>
      <c r="AE691" s="3"/>
      <c r="AO691" s="3"/>
    </row>
    <row r="692" ht="14.25" customHeight="1">
      <c r="C692" s="9"/>
      <c r="D692" s="9"/>
      <c r="E692" s="9"/>
      <c r="F692" s="9"/>
      <c r="G692" s="9"/>
      <c r="H692" s="16"/>
      <c r="I692" s="9"/>
      <c r="K692" s="3"/>
      <c r="U692" s="3"/>
      <c r="AE692" s="3"/>
      <c r="AO692" s="3"/>
    </row>
    <row r="693" ht="14.25" customHeight="1">
      <c r="C693" s="9"/>
      <c r="D693" s="9"/>
      <c r="E693" s="9"/>
      <c r="F693" s="9"/>
      <c r="G693" s="9"/>
      <c r="H693" s="16"/>
      <c r="I693" s="9"/>
      <c r="K693" s="3"/>
      <c r="U693" s="3"/>
      <c r="AE693" s="3"/>
      <c r="AO693" s="3"/>
    </row>
    <row r="694" ht="14.25" customHeight="1">
      <c r="C694" s="9"/>
      <c r="D694" s="9"/>
      <c r="E694" s="9"/>
      <c r="F694" s="9"/>
      <c r="G694" s="9"/>
      <c r="H694" s="16"/>
      <c r="I694" s="9"/>
      <c r="K694" s="3"/>
      <c r="U694" s="3"/>
      <c r="AE694" s="3"/>
      <c r="AO694" s="3"/>
    </row>
    <row r="695" ht="14.25" customHeight="1">
      <c r="C695" s="9"/>
      <c r="D695" s="9"/>
      <c r="E695" s="9"/>
      <c r="F695" s="9"/>
      <c r="G695" s="9"/>
      <c r="H695" s="16"/>
      <c r="I695" s="9"/>
      <c r="K695" s="3"/>
      <c r="U695" s="3"/>
      <c r="AE695" s="3"/>
      <c r="AO695" s="3"/>
    </row>
    <row r="696" ht="14.25" customHeight="1">
      <c r="C696" s="9"/>
      <c r="D696" s="9"/>
      <c r="E696" s="9"/>
      <c r="F696" s="9"/>
      <c r="G696" s="9"/>
      <c r="H696" s="16"/>
      <c r="I696" s="9"/>
      <c r="K696" s="3"/>
      <c r="U696" s="3"/>
      <c r="AE696" s="3"/>
      <c r="AO696" s="3"/>
    </row>
    <row r="697" ht="14.25" customHeight="1">
      <c r="C697" s="9"/>
      <c r="D697" s="9"/>
      <c r="E697" s="9"/>
      <c r="F697" s="9"/>
      <c r="G697" s="9"/>
      <c r="H697" s="16"/>
      <c r="I697" s="9"/>
      <c r="K697" s="3"/>
      <c r="U697" s="3"/>
      <c r="AE697" s="3"/>
      <c r="AO697" s="3"/>
    </row>
    <row r="698" ht="14.25" customHeight="1">
      <c r="C698" s="9"/>
      <c r="D698" s="9"/>
      <c r="E698" s="9"/>
      <c r="F698" s="9"/>
      <c r="G698" s="9"/>
      <c r="H698" s="16"/>
      <c r="I698" s="9"/>
      <c r="K698" s="3"/>
      <c r="U698" s="3"/>
      <c r="AE698" s="3"/>
      <c r="AO698" s="3"/>
    </row>
    <row r="699" ht="14.25" customHeight="1">
      <c r="C699" s="9"/>
      <c r="D699" s="9"/>
      <c r="E699" s="9"/>
      <c r="F699" s="9"/>
      <c r="G699" s="9"/>
      <c r="H699" s="16"/>
      <c r="I699" s="9"/>
      <c r="K699" s="3"/>
      <c r="U699" s="3"/>
      <c r="AE699" s="3"/>
      <c r="AO699" s="3"/>
    </row>
    <row r="700" ht="14.25" customHeight="1">
      <c r="C700" s="9"/>
      <c r="D700" s="9"/>
      <c r="E700" s="9"/>
      <c r="F700" s="9"/>
      <c r="G700" s="9"/>
      <c r="H700" s="16"/>
      <c r="I700" s="9"/>
      <c r="K700" s="3"/>
      <c r="U700" s="3"/>
      <c r="AE700" s="3"/>
      <c r="AO700" s="3"/>
    </row>
    <row r="701" ht="14.25" customHeight="1">
      <c r="C701" s="9"/>
      <c r="D701" s="9"/>
      <c r="E701" s="9"/>
      <c r="F701" s="9"/>
      <c r="G701" s="9"/>
      <c r="H701" s="16"/>
      <c r="I701" s="9"/>
      <c r="K701" s="3"/>
      <c r="U701" s="3"/>
      <c r="AE701" s="3"/>
      <c r="AO701" s="3"/>
    </row>
    <row r="702" ht="14.25" customHeight="1">
      <c r="C702" s="9"/>
      <c r="D702" s="9"/>
      <c r="E702" s="9"/>
      <c r="F702" s="9"/>
      <c r="G702" s="9"/>
      <c r="H702" s="16"/>
      <c r="I702" s="9"/>
      <c r="K702" s="3"/>
      <c r="U702" s="3"/>
      <c r="AE702" s="3"/>
      <c r="AO702" s="3"/>
    </row>
    <row r="703" ht="14.25" customHeight="1">
      <c r="C703" s="9"/>
      <c r="D703" s="9"/>
      <c r="E703" s="9"/>
      <c r="F703" s="9"/>
      <c r="G703" s="9"/>
      <c r="H703" s="16"/>
      <c r="I703" s="9"/>
      <c r="K703" s="3"/>
      <c r="U703" s="3"/>
      <c r="AE703" s="3"/>
      <c r="AO703" s="3"/>
    </row>
    <row r="704" ht="14.25" customHeight="1">
      <c r="C704" s="9"/>
      <c r="D704" s="9"/>
      <c r="E704" s="9"/>
      <c r="F704" s="9"/>
      <c r="G704" s="9"/>
      <c r="H704" s="16"/>
      <c r="I704" s="9"/>
      <c r="K704" s="3"/>
      <c r="U704" s="3"/>
      <c r="AE704" s="3"/>
      <c r="AO704" s="3"/>
    </row>
    <row r="705" ht="14.25" customHeight="1">
      <c r="C705" s="9"/>
      <c r="D705" s="9"/>
      <c r="E705" s="9"/>
      <c r="F705" s="9"/>
      <c r="G705" s="9"/>
      <c r="H705" s="16"/>
      <c r="I705" s="9"/>
      <c r="K705" s="3"/>
      <c r="U705" s="3"/>
      <c r="AE705" s="3"/>
      <c r="AO705" s="3"/>
    </row>
    <row r="706" ht="14.25" customHeight="1">
      <c r="C706" s="9"/>
      <c r="D706" s="9"/>
      <c r="E706" s="9"/>
      <c r="F706" s="9"/>
      <c r="G706" s="9"/>
      <c r="H706" s="16"/>
      <c r="I706" s="9"/>
      <c r="K706" s="3"/>
      <c r="U706" s="3"/>
      <c r="AE706" s="3"/>
      <c r="AO706" s="3"/>
    </row>
    <row r="707" ht="14.25" customHeight="1">
      <c r="C707" s="9"/>
      <c r="D707" s="9"/>
      <c r="E707" s="9"/>
      <c r="F707" s="9"/>
      <c r="G707" s="9"/>
      <c r="H707" s="16"/>
      <c r="I707" s="9"/>
      <c r="K707" s="3"/>
      <c r="U707" s="3"/>
      <c r="AE707" s="3"/>
      <c r="AO707" s="3"/>
    </row>
    <row r="708" ht="14.25" customHeight="1">
      <c r="C708" s="9"/>
      <c r="D708" s="9"/>
      <c r="E708" s="9"/>
      <c r="F708" s="9"/>
      <c r="G708" s="9"/>
      <c r="H708" s="16"/>
      <c r="I708" s="9"/>
      <c r="K708" s="3"/>
      <c r="U708" s="3"/>
      <c r="AE708" s="3"/>
      <c r="AO708" s="3"/>
    </row>
    <row r="709" ht="14.25" customHeight="1">
      <c r="C709" s="9"/>
      <c r="D709" s="9"/>
      <c r="E709" s="9"/>
      <c r="F709" s="9"/>
      <c r="G709" s="9"/>
      <c r="H709" s="16"/>
      <c r="I709" s="9"/>
      <c r="K709" s="3"/>
      <c r="U709" s="3"/>
      <c r="AE709" s="3"/>
      <c r="AO709" s="3"/>
    </row>
    <row r="710" ht="14.25" customHeight="1">
      <c r="C710" s="9"/>
      <c r="D710" s="9"/>
      <c r="E710" s="9"/>
      <c r="F710" s="9"/>
      <c r="G710" s="9"/>
      <c r="H710" s="16"/>
      <c r="I710" s="9"/>
      <c r="K710" s="3"/>
      <c r="U710" s="3"/>
      <c r="AE710" s="3"/>
      <c r="AO710" s="3"/>
    </row>
    <row r="711" ht="14.25" customHeight="1">
      <c r="C711" s="9"/>
      <c r="D711" s="9"/>
      <c r="E711" s="9"/>
      <c r="F711" s="9"/>
      <c r="G711" s="9"/>
      <c r="H711" s="16"/>
      <c r="I711" s="9"/>
      <c r="K711" s="3"/>
      <c r="U711" s="3"/>
      <c r="AE711" s="3"/>
      <c r="AO711" s="3"/>
    </row>
    <row r="712" ht="14.25" customHeight="1">
      <c r="C712" s="9"/>
      <c r="D712" s="9"/>
      <c r="E712" s="9"/>
      <c r="F712" s="9"/>
      <c r="G712" s="9"/>
      <c r="H712" s="16"/>
      <c r="I712" s="9"/>
      <c r="K712" s="3"/>
      <c r="U712" s="3"/>
      <c r="AE712" s="3"/>
      <c r="AO712" s="3"/>
    </row>
    <row r="713" ht="14.25" customHeight="1">
      <c r="C713" s="9"/>
      <c r="D713" s="9"/>
      <c r="E713" s="9"/>
      <c r="F713" s="9"/>
      <c r="G713" s="9"/>
      <c r="H713" s="16"/>
      <c r="I713" s="9"/>
      <c r="K713" s="3"/>
      <c r="U713" s="3"/>
      <c r="AE713" s="3"/>
      <c r="AO713" s="3"/>
    </row>
    <row r="714" ht="14.25" customHeight="1">
      <c r="C714" s="9"/>
      <c r="D714" s="9"/>
      <c r="E714" s="9"/>
      <c r="F714" s="9"/>
      <c r="G714" s="9"/>
      <c r="H714" s="16"/>
      <c r="I714" s="9"/>
      <c r="K714" s="3"/>
      <c r="U714" s="3"/>
      <c r="AE714" s="3"/>
      <c r="AO714" s="3"/>
    </row>
    <row r="715" ht="14.25" customHeight="1">
      <c r="C715" s="9"/>
      <c r="D715" s="9"/>
      <c r="E715" s="9"/>
      <c r="F715" s="9"/>
      <c r="G715" s="9"/>
      <c r="H715" s="16"/>
      <c r="I715" s="9"/>
      <c r="K715" s="3"/>
      <c r="U715" s="3"/>
      <c r="AE715" s="3"/>
      <c r="AO715" s="3"/>
    </row>
    <row r="716" ht="14.25" customHeight="1">
      <c r="C716" s="9"/>
      <c r="D716" s="9"/>
      <c r="E716" s="9"/>
      <c r="F716" s="9"/>
      <c r="G716" s="9"/>
      <c r="H716" s="16"/>
      <c r="I716" s="9"/>
      <c r="K716" s="3"/>
      <c r="U716" s="3"/>
      <c r="AE716" s="3"/>
      <c r="AO716" s="3"/>
    </row>
    <row r="717" ht="14.25" customHeight="1">
      <c r="C717" s="9"/>
      <c r="D717" s="9"/>
      <c r="E717" s="9"/>
      <c r="F717" s="9"/>
      <c r="G717" s="9"/>
      <c r="H717" s="16"/>
      <c r="I717" s="9"/>
      <c r="K717" s="3"/>
      <c r="U717" s="3"/>
      <c r="AE717" s="3"/>
      <c r="AO717" s="3"/>
    </row>
    <row r="718" ht="14.25" customHeight="1">
      <c r="C718" s="9"/>
      <c r="D718" s="9"/>
      <c r="E718" s="9"/>
      <c r="F718" s="9"/>
      <c r="G718" s="9"/>
      <c r="H718" s="16"/>
      <c r="I718" s="9"/>
      <c r="K718" s="3"/>
      <c r="U718" s="3"/>
      <c r="AE718" s="3"/>
      <c r="AO718" s="3"/>
    </row>
    <row r="719" ht="14.25" customHeight="1">
      <c r="C719" s="9"/>
      <c r="D719" s="9"/>
      <c r="E719" s="9"/>
      <c r="F719" s="9"/>
      <c r="G719" s="9"/>
      <c r="H719" s="16"/>
      <c r="I719" s="9"/>
      <c r="K719" s="3"/>
      <c r="U719" s="3"/>
      <c r="AE719" s="3"/>
      <c r="AO719" s="3"/>
    </row>
    <row r="720" ht="14.25" customHeight="1">
      <c r="C720" s="9"/>
      <c r="D720" s="9"/>
      <c r="E720" s="9"/>
      <c r="F720" s="9"/>
      <c r="G720" s="9"/>
      <c r="H720" s="16"/>
      <c r="I720" s="9"/>
      <c r="K720" s="3"/>
      <c r="U720" s="3"/>
      <c r="AE720" s="3"/>
      <c r="AO720" s="3"/>
    </row>
    <row r="721" ht="14.25" customHeight="1">
      <c r="C721" s="9"/>
      <c r="D721" s="9"/>
      <c r="E721" s="9"/>
      <c r="F721" s="9"/>
      <c r="G721" s="9"/>
      <c r="H721" s="16"/>
      <c r="I721" s="9"/>
      <c r="K721" s="3"/>
      <c r="U721" s="3"/>
      <c r="AE721" s="3"/>
      <c r="AO721" s="3"/>
    </row>
    <row r="722" ht="14.25" customHeight="1">
      <c r="C722" s="9"/>
      <c r="D722" s="9"/>
      <c r="E722" s="9"/>
      <c r="F722" s="9"/>
      <c r="G722" s="9"/>
      <c r="H722" s="16"/>
      <c r="I722" s="9"/>
      <c r="K722" s="3"/>
      <c r="U722" s="3"/>
      <c r="AE722" s="3"/>
      <c r="AO722" s="3"/>
    </row>
    <row r="723" ht="14.25" customHeight="1">
      <c r="C723" s="9"/>
      <c r="D723" s="9"/>
      <c r="E723" s="9"/>
      <c r="F723" s="9"/>
      <c r="G723" s="9"/>
      <c r="H723" s="16"/>
      <c r="I723" s="9"/>
      <c r="K723" s="3"/>
      <c r="U723" s="3"/>
      <c r="AE723" s="3"/>
      <c r="AO723" s="3"/>
    </row>
    <row r="724" ht="14.25" customHeight="1">
      <c r="C724" s="9"/>
      <c r="D724" s="9"/>
      <c r="E724" s="9"/>
      <c r="F724" s="9"/>
      <c r="G724" s="9"/>
      <c r="H724" s="16"/>
      <c r="I724" s="9"/>
      <c r="K724" s="3"/>
      <c r="U724" s="3"/>
      <c r="AE724" s="3"/>
      <c r="AO724" s="3"/>
    </row>
    <row r="725" ht="14.25" customHeight="1">
      <c r="C725" s="9"/>
      <c r="D725" s="9"/>
      <c r="E725" s="9"/>
      <c r="F725" s="9"/>
      <c r="G725" s="9"/>
      <c r="H725" s="16"/>
      <c r="I725" s="9"/>
      <c r="K725" s="3"/>
      <c r="U725" s="3"/>
      <c r="AE725" s="3"/>
      <c r="AO725" s="3"/>
    </row>
    <row r="726" ht="14.25" customHeight="1">
      <c r="C726" s="9"/>
      <c r="D726" s="9"/>
      <c r="E726" s="9"/>
      <c r="F726" s="9"/>
      <c r="G726" s="9"/>
      <c r="H726" s="16"/>
      <c r="I726" s="9"/>
      <c r="K726" s="3"/>
      <c r="U726" s="3"/>
      <c r="AE726" s="3"/>
      <c r="AO726" s="3"/>
    </row>
    <row r="727" ht="14.25" customHeight="1">
      <c r="C727" s="9"/>
      <c r="D727" s="9"/>
      <c r="E727" s="9"/>
      <c r="F727" s="9"/>
      <c r="G727" s="9"/>
      <c r="H727" s="16"/>
      <c r="I727" s="9"/>
      <c r="K727" s="3"/>
      <c r="U727" s="3"/>
      <c r="AE727" s="3"/>
      <c r="AO727" s="3"/>
    </row>
    <row r="728" ht="14.25" customHeight="1">
      <c r="C728" s="9"/>
      <c r="D728" s="9"/>
      <c r="E728" s="9"/>
      <c r="F728" s="9"/>
      <c r="G728" s="9"/>
      <c r="H728" s="16"/>
      <c r="I728" s="9"/>
      <c r="K728" s="3"/>
      <c r="U728" s="3"/>
      <c r="AE728" s="3"/>
      <c r="AO728" s="3"/>
    </row>
    <row r="729" ht="14.25" customHeight="1">
      <c r="C729" s="9"/>
      <c r="D729" s="9"/>
      <c r="E729" s="9"/>
      <c r="F729" s="9"/>
      <c r="G729" s="9"/>
      <c r="H729" s="16"/>
      <c r="I729" s="9"/>
      <c r="K729" s="3"/>
      <c r="U729" s="3"/>
      <c r="AE729" s="3"/>
      <c r="AO729" s="3"/>
    </row>
    <row r="730" ht="14.25" customHeight="1">
      <c r="C730" s="9"/>
      <c r="D730" s="9"/>
      <c r="E730" s="9"/>
      <c r="F730" s="9"/>
      <c r="G730" s="9"/>
      <c r="H730" s="16"/>
      <c r="I730" s="9"/>
      <c r="K730" s="3"/>
      <c r="U730" s="3"/>
      <c r="AE730" s="3"/>
      <c r="AO730" s="3"/>
    </row>
    <row r="731" ht="14.25" customHeight="1">
      <c r="C731" s="9"/>
      <c r="D731" s="9"/>
      <c r="E731" s="9"/>
      <c r="F731" s="9"/>
      <c r="G731" s="9"/>
      <c r="H731" s="16"/>
      <c r="I731" s="9"/>
      <c r="K731" s="3"/>
      <c r="U731" s="3"/>
      <c r="AE731" s="3"/>
      <c r="AO731" s="3"/>
    </row>
    <row r="732" ht="14.25" customHeight="1">
      <c r="C732" s="9"/>
      <c r="D732" s="9"/>
      <c r="E732" s="9"/>
      <c r="F732" s="9"/>
      <c r="G732" s="9"/>
      <c r="H732" s="16"/>
      <c r="I732" s="9"/>
      <c r="K732" s="3"/>
      <c r="U732" s="3"/>
      <c r="AE732" s="3"/>
      <c r="AO732" s="3"/>
    </row>
    <row r="733" ht="14.25" customHeight="1">
      <c r="C733" s="9"/>
      <c r="D733" s="9"/>
      <c r="E733" s="9"/>
      <c r="F733" s="9"/>
      <c r="G733" s="9"/>
      <c r="H733" s="16"/>
      <c r="I733" s="9"/>
      <c r="K733" s="3"/>
      <c r="U733" s="3"/>
      <c r="AE733" s="3"/>
      <c r="AO733" s="3"/>
    </row>
    <row r="734" ht="14.25" customHeight="1">
      <c r="C734" s="9"/>
      <c r="D734" s="9"/>
      <c r="E734" s="9"/>
      <c r="F734" s="9"/>
      <c r="G734" s="9"/>
      <c r="H734" s="16"/>
      <c r="I734" s="9"/>
      <c r="K734" s="3"/>
      <c r="U734" s="3"/>
      <c r="AE734" s="3"/>
      <c r="AO734" s="3"/>
    </row>
    <row r="735" ht="14.25" customHeight="1">
      <c r="C735" s="9"/>
      <c r="D735" s="9"/>
      <c r="E735" s="9"/>
      <c r="F735" s="9"/>
      <c r="G735" s="9"/>
      <c r="H735" s="16"/>
      <c r="I735" s="9"/>
      <c r="K735" s="3"/>
      <c r="U735" s="3"/>
      <c r="AE735" s="3"/>
      <c r="AO735" s="3"/>
    </row>
    <row r="736" ht="14.25" customHeight="1">
      <c r="C736" s="9"/>
      <c r="D736" s="9"/>
      <c r="E736" s="9"/>
      <c r="F736" s="9"/>
      <c r="G736" s="9"/>
      <c r="H736" s="16"/>
      <c r="I736" s="9"/>
      <c r="K736" s="3"/>
      <c r="U736" s="3"/>
      <c r="AE736" s="3"/>
      <c r="AO736" s="3"/>
    </row>
    <row r="737" ht="14.25" customHeight="1">
      <c r="C737" s="9"/>
      <c r="D737" s="9"/>
      <c r="E737" s="9"/>
      <c r="F737" s="9"/>
      <c r="G737" s="9"/>
      <c r="H737" s="16"/>
      <c r="I737" s="9"/>
      <c r="K737" s="3"/>
      <c r="U737" s="3"/>
      <c r="AE737" s="3"/>
      <c r="AO737" s="3"/>
    </row>
    <row r="738" ht="14.25" customHeight="1">
      <c r="C738" s="9"/>
      <c r="D738" s="9"/>
      <c r="E738" s="9"/>
      <c r="F738" s="9"/>
      <c r="G738" s="9"/>
      <c r="H738" s="16"/>
      <c r="I738" s="9"/>
      <c r="K738" s="3"/>
      <c r="U738" s="3"/>
      <c r="AE738" s="3"/>
      <c r="AO738" s="3"/>
    </row>
    <row r="739" ht="14.25" customHeight="1">
      <c r="C739" s="9"/>
      <c r="D739" s="9"/>
      <c r="E739" s="9"/>
      <c r="F739" s="9"/>
      <c r="G739" s="9"/>
      <c r="H739" s="16"/>
      <c r="I739" s="9"/>
      <c r="K739" s="3"/>
      <c r="U739" s="3"/>
      <c r="AE739" s="3"/>
      <c r="AO739" s="3"/>
    </row>
    <row r="740" ht="14.25" customHeight="1">
      <c r="C740" s="9"/>
      <c r="D740" s="9"/>
      <c r="E740" s="9"/>
      <c r="F740" s="9"/>
      <c r="G740" s="9"/>
      <c r="H740" s="16"/>
      <c r="I740" s="9"/>
      <c r="K740" s="3"/>
      <c r="U740" s="3"/>
      <c r="AE740" s="3"/>
      <c r="AO740" s="3"/>
    </row>
    <row r="741" ht="14.25" customHeight="1">
      <c r="C741" s="9"/>
      <c r="D741" s="9"/>
      <c r="E741" s="9"/>
      <c r="F741" s="9"/>
      <c r="G741" s="9"/>
      <c r="H741" s="16"/>
      <c r="I741" s="9"/>
      <c r="K741" s="3"/>
      <c r="U741" s="3"/>
      <c r="AE741" s="3"/>
      <c r="AO741" s="3"/>
    </row>
    <row r="742" ht="14.25" customHeight="1">
      <c r="C742" s="9"/>
      <c r="D742" s="9"/>
      <c r="E742" s="9"/>
      <c r="F742" s="9"/>
      <c r="G742" s="9"/>
      <c r="H742" s="16"/>
      <c r="I742" s="9"/>
      <c r="K742" s="3"/>
      <c r="U742" s="3"/>
      <c r="AE742" s="3"/>
      <c r="AO742" s="3"/>
    </row>
    <row r="743" ht="14.25" customHeight="1">
      <c r="C743" s="9"/>
      <c r="D743" s="9"/>
      <c r="E743" s="9"/>
      <c r="F743" s="9"/>
      <c r="G743" s="9"/>
      <c r="H743" s="16"/>
      <c r="I743" s="9"/>
      <c r="K743" s="3"/>
      <c r="U743" s="3"/>
      <c r="AE743" s="3"/>
      <c r="AO743" s="3"/>
    </row>
    <row r="744" ht="14.25" customHeight="1">
      <c r="C744" s="9"/>
      <c r="D744" s="9"/>
      <c r="E744" s="9"/>
      <c r="F744" s="9"/>
      <c r="G744" s="9"/>
      <c r="H744" s="16"/>
      <c r="I744" s="9"/>
      <c r="K744" s="3"/>
      <c r="U744" s="3"/>
      <c r="AE744" s="3"/>
      <c r="AO744" s="3"/>
    </row>
    <row r="745" ht="14.25" customHeight="1">
      <c r="C745" s="9"/>
      <c r="D745" s="9"/>
      <c r="E745" s="9"/>
      <c r="F745" s="9"/>
      <c r="G745" s="9"/>
      <c r="H745" s="16"/>
      <c r="I745" s="9"/>
      <c r="K745" s="3"/>
      <c r="U745" s="3"/>
      <c r="AE745" s="3"/>
      <c r="AO745" s="3"/>
    </row>
    <row r="746" ht="14.25" customHeight="1">
      <c r="C746" s="9"/>
      <c r="D746" s="9"/>
      <c r="E746" s="9"/>
      <c r="F746" s="9"/>
      <c r="G746" s="9"/>
      <c r="H746" s="16"/>
      <c r="I746" s="9"/>
      <c r="K746" s="3"/>
      <c r="U746" s="3"/>
      <c r="AE746" s="3"/>
      <c r="AO746" s="3"/>
    </row>
    <row r="747" ht="14.25" customHeight="1">
      <c r="C747" s="9"/>
      <c r="D747" s="9"/>
      <c r="E747" s="9"/>
      <c r="F747" s="9"/>
      <c r="G747" s="9"/>
      <c r="H747" s="16"/>
      <c r="I747" s="9"/>
      <c r="K747" s="3"/>
      <c r="U747" s="3"/>
      <c r="AE747" s="3"/>
      <c r="AO747" s="3"/>
    </row>
    <row r="748" ht="14.25" customHeight="1">
      <c r="C748" s="9"/>
      <c r="D748" s="9"/>
      <c r="E748" s="9"/>
      <c r="F748" s="9"/>
      <c r="G748" s="9"/>
      <c r="H748" s="16"/>
      <c r="I748" s="9"/>
      <c r="K748" s="3"/>
      <c r="U748" s="3"/>
      <c r="AE748" s="3"/>
      <c r="AO748" s="3"/>
    </row>
    <row r="749" ht="14.25" customHeight="1">
      <c r="C749" s="9"/>
      <c r="D749" s="9"/>
      <c r="E749" s="9"/>
      <c r="F749" s="9"/>
      <c r="G749" s="9"/>
      <c r="H749" s="16"/>
      <c r="I749" s="9"/>
      <c r="K749" s="3"/>
      <c r="U749" s="3"/>
      <c r="AE749" s="3"/>
      <c r="AO749" s="3"/>
    </row>
    <row r="750" ht="14.25" customHeight="1">
      <c r="C750" s="9"/>
      <c r="D750" s="9"/>
      <c r="E750" s="9"/>
      <c r="F750" s="9"/>
      <c r="G750" s="9"/>
      <c r="H750" s="16"/>
      <c r="I750" s="9"/>
      <c r="K750" s="3"/>
      <c r="U750" s="3"/>
      <c r="AE750" s="3"/>
      <c r="AO750" s="3"/>
    </row>
    <row r="751" ht="14.25" customHeight="1">
      <c r="C751" s="9"/>
      <c r="D751" s="9"/>
      <c r="E751" s="9"/>
      <c r="F751" s="9"/>
      <c r="G751" s="9"/>
      <c r="H751" s="16"/>
      <c r="I751" s="9"/>
      <c r="K751" s="3"/>
      <c r="U751" s="3"/>
      <c r="AE751" s="3"/>
      <c r="AO751" s="3"/>
    </row>
    <row r="752" ht="14.25" customHeight="1">
      <c r="C752" s="9"/>
      <c r="D752" s="9"/>
      <c r="E752" s="9"/>
      <c r="F752" s="9"/>
      <c r="G752" s="9"/>
      <c r="H752" s="16"/>
      <c r="I752" s="9"/>
      <c r="K752" s="3"/>
      <c r="U752" s="3"/>
      <c r="AE752" s="3"/>
      <c r="AO752" s="3"/>
    </row>
    <row r="753" ht="14.25" customHeight="1">
      <c r="C753" s="9"/>
      <c r="D753" s="9"/>
      <c r="E753" s="9"/>
      <c r="F753" s="9"/>
      <c r="G753" s="9"/>
      <c r="H753" s="16"/>
      <c r="I753" s="9"/>
      <c r="K753" s="3"/>
      <c r="U753" s="3"/>
      <c r="AE753" s="3"/>
      <c r="AO753" s="3"/>
    </row>
    <row r="754" ht="14.25" customHeight="1">
      <c r="C754" s="9"/>
      <c r="D754" s="9"/>
      <c r="E754" s="9"/>
      <c r="F754" s="9"/>
      <c r="G754" s="9"/>
      <c r="H754" s="16"/>
      <c r="I754" s="9"/>
      <c r="K754" s="3"/>
      <c r="U754" s="3"/>
      <c r="AE754" s="3"/>
      <c r="AO754" s="3"/>
    </row>
    <row r="755" ht="14.25" customHeight="1">
      <c r="C755" s="9"/>
      <c r="D755" s="9"/>
      <c r="E755" s="9"/>
      <c r="F755" s="9"/>
      <c r="G755" s="9"/>
      <c r="H755" s="16"/>
      <c r="I755" s="9"/>
      <c r="K755" s="3"/>
      <c r="U755" s="3"/>
      <c r="AE755" s="3"/>
      <c r="AO755" s="3"/>
    </row>
    <row r="756" ht="14.25" customHeight="1">
      <c r="C756" s="9"/>
      <c r="D756" s="9"/>
      <c r="E756" s="9"/>
      <c r="F756" s="9"/>
      <c r="G756" s="9"/>
      <c r="H756" s="16"/>
      <c r="I756" s="9"/>
      <c r="K756" s="3"/>
      <c r="U756" s="3"/>
      <c r="AE756" s="3"/>
      <c r="AO756" s="3"/>
    </row>
    <row r="757" ht="14.25" customHeight="1">
      <c r="C757" s="9"/>
      <c r="D757" s="9"/>
      <c r="E757" s="9"/>
      <c r="F757" s="9"/>
      <c r="G757" s="9"/>
      <c r="H757" s="16"/>
      <c r="I757" s="9"/>
      <c r="K757" s="3"/>
      <c r="U757" s="3"/>
      <c r="AE757" s="3"/>
      <c r="AO757" s="3"/>
    </row>
    <row r="758" ht="14.25" customHeight="1">
      <c r="C758" s="9"/>
      <c r="D758" s="9"/>
      <c r="E758" s="9"/>
      <c r="F758" s="9"/>
      <c r="G758" s="9"/>
      <c r="H758" s="16"/>
      <c r="I758" s="9"/>
      <c r="K758" s="3"/>
      <c r="U758" s="3"/>
      <c r="AE758" s="3"/>
      <c r="AO758" s="3"/>
    </row>
    <row r="759" ht="14.25" customHeight="1">
      <c r="C759" s="9"/>
      <c r="D759" s="9"/>
      <c r="E759" s="9"/>
      <c r="F759" s="9"/>
      <c r="G759" s="9"/>
      <c r="H759" s="16"/>
      <c r="I759" s="9"/>
      <c r="K759" s="3"/>
      <c r="U759" s="3"/>
      <c r="AE759" s="3"/>
      <c r="AO759" s="3"/>
    </row>
    <row r="760" ht="14.25" customHeight="1">
      <c r="C760" s="9"/>
      <c r="D760" s="9"/>
      <c r="E760" s="9"/>
      <c r="F760" s="9"/>
      <c r="G760" s="9"/>
      <c r="H760" s="16"/>
      <c r="I760" s="9"/>
      <c r="K760" s="3"/>
      <c r="U760" s="3"/>
      <c r="AE760" s="3"/>
      <c r="AO760" s="3"/>
    </row>
    <row r="761" ht="14.25" customHeight="1">
      <c r="C761" s="9"/>
      <c r="D761" s="9"/>
      <c r="E761" s="9"/>
      <c r="F761" s="9"/>
      <c r="G761" s="9"/>
      <c r="H761" s="16"/>
      <c r="I761" s="9"/>
      <c r="K761" s="3"/>
      <c r="U761" s="3"/>
      <c r="AE761" s="3"/>
      <c r="AO761" s="3"/>
    </row>
    <row r="762" ht="14.25" customHeight="1">
      <c r="C762" s="9"/>
      <c r="D762" s="9"/>
      <c r="E762" s="9"/>
      <c r="F762" s="9"/>
      <c r="G762" s="9"/>
      <c r="H762" s="16"/>
      <c r="I762" s="9"/>
      <c r="K762" s="3"/>
      <c r="U762" s="3"/>
      <c r="AE762" s="3"/>
      <c r="AO762" s="3"/>
    </row>
    <row r="763" ht="14.25" customHeight="1">
      <c r="C763" s="9"/>
      <c r="D763" s="9"/>
      <c r="E763" s="9"/>
      <c r="F763" s="9"/>
      <c r="G763" s="9"/>
      <c r="H763" s="16"/>
      <c r="I763" s="9"/>
      <c r="K763" s="3"/>
      <c r="U763" s="3"/>
      <c r="AE763" s="3"/>
      <c r="AO763" s="3"/>
    </row>
    <row r="764" ht="14.25" customHeight="1">
      <c r="C764" s="9"/>
      <c r="D764" s="9"/>
      <c r="E764" s="9"/>
      <c r="F764" s="9"/>
      <c r="G764" s="9"/>
      <c r="H764" s="16"/>
      <c r="I764" s="9"/>
      <c r="K764" s="3"/>
      <c r="U764" s="3"/>
      <c r="AE764" s="3"/>
      <c r="AO764" s="3"/>
    </row>
    <row r="765" ht="14.25" customHeight="1">
      <c r="C765" s="9"/>
      <c r="D765" s="9"/>
      <c r="E765" s="9"/>
      <c r="F765" s="9"/>
      <c r="G765" s="9"/>
      <c r="H765" s="16"/>
      <c r="I765" s="9"/>
      <c r="K765" s="3"/>
      <c r="U765" s="3"/>
      <c r="AE765" s="3"/>
      <c r="AO765" s="3"/>
    </row>
    <row r="766" ht="14.25" customHeight="1">
      <c r="C766" s="9"/>
      <c r="D766" s="9"/>
      <c r="E766" s="9"/>
      <c r="F766" s="9"/>
      <c r="G766" s="9"/>
      <c r="H766" s="16"/>
      <c r="I766" s="9"/>
      <c r="K766" s="3"/>
      <c r="U766" s="3"/>
      <c r="AE766" s="3"/>
      <c r="AO766" s="3"/>
    </row>
    <row r="767" ht="14.25" customHeight="1">
      <c r="C767" s="9"/>
      <c r="D767" s="9"/>
      <c r="E767" s="9"/>
      <c r="F767" s="9"/>
      <c r="G767" s="9"/>
      <c r="H767" s="16"/>
      <c r="I767" s="9"/>
      <c r="K767" s="3"/>
      <c r="U767" s="3"/>
      <c r="AE767" s="3"/>
      <c r="AO767" s="3"/>
    </row>
    <row r="768" ht="14.25" customHeight="1">
      <c r="C768" s="9"/>
      <c r="D768" s="9"/>
      <c r="E768" s="9"/>
      <c r="F768" s="9"/>
      <c r="G768" s="9"/>
      <c r="H768" s="16"/>
      <c r="I768" s="9"/>
      <c r="K768" s="3"/>
      <c r="U768" s="3"/>
      <c r="AE768" s="3"/>
      <c r="AO768" s="3"/>
    </row>
    <row r="769" ht="14.25" customHeight="1">
      <c r="C769" s="9"/>
      <c r="D769" s="9"/>
      <c r="E769" s="9"/>
      <c r="F769" s="9"/>
      <c r="G769" s="9"/>
      <c r="H769" s="16"/>
      <c r="I769" s="9"/>
      <c r="K769" s="3"/>
      <c r="U769" s="3"/>
      <c r="AE769" s="3"/>
      <c r="AO769" s="3"/>
    </row>
    <row r="770" ht="14.25" customHeight="1">
      <c r="C770" s="9"/>
      <c r="D770" s="9"/>
      <c r="E770" s="9"/>
      <c r="F770" s="9"/>
      <c r="G770" s="9"/>
      <c r="H770" s="16"/>
      <c r="I770" s="9"/>
      <c r="K770" s="3"/>
      <c r="U770" s="3"/>
      <c r="AE770" s="3"/>
      <c r="AO770" s="3"/>
    </row>
    <row r="771" ht="14.25" customHeight="1">
      <c r="C771" s="9"/>
      <c r="D771" s="9"/>
      <c r="E771" s="9"/>
      <c r="F771" s="9"/>
      <c r="G771" s="9"/>
      <c r="H771" s="16"/>
      <c r="I771" s="9"/>
      <c r="K771" s="3"/>
      <c r="U771" s="3"/>
      <c r="AE771" s="3"/>
      <c r="AO771" s="3"/>
    </row>
    <row r="772" ht="14.25" customHeight="1">
      <c r="C772" s="9"/>
      <c r="D772" s="9"/>
      <c r="E772" s="9"/>
      <c r="F772" s="9"/>
      <c r="G772" s="9"/>
      <c r="H772" s="16"/>
      <c r="I772" s="9"/>
      <c r="K772" s="3"/>
      <c r="U772" s="3"/>
      <c r="AE772" s="3"/>
      <c r="AO772" s="3"/>
    </row>
    <row r="773" ht="14.25" customHeight="1">
      <c r="C773" s="9"/>
      <c r="D773" s="9"/>
      <c r="E773" s="9"/>
      <c r="F773" s="9"/>
      <c r="G773" s="9"/>
      <c r="H773" s="16"/>
      <c r="I773" s="9"/>
      <c r="K773" s="3"/>
      <c r="U773" s="3"/>
      <c r="AE773" s="3"/>
      <c r="AO773" s="3"/>
    </row>
    <row r="774" ht="14.25" customHeight="1">
      <c r="C774" s="9"/>
      <c r="D774" s="9"/>
      <c r="E774" s="9"/>
      <c r="F774" s="9"/>
      <c r="G774" s="9"/>
      <c r="H774" s="16"/>
      <c r="I774" s="9"/>
      <c r="K774" s="3"/>
      <c r="U774" s="3"/>
      <c r="AE774" s="3"/>
      <c r="AO774" s="3"/>
    </row>
    <row r="775" ht="14.25" customHeight="1">
      <c r="C775" s="9"/>
      <c r="D775" s="9"/>
      <c r="E775" s="9"/>
      <c r="F775" s="9"/>
      <c r="G775" s="9"/>
      <c r="H775" s="16"/>
      <c r="I775" s="9"/>
      <c r="K775" s="3"/>
      <c r="U775" s="3"/>
      <c r="AE775" s="3"/>
      <c r="AO775" s="3"/>
    </row>
    <row r="776" ht="14.25" customHeight="1">
      <c r="C776" s="9"/>
      <c r="D776" s="9"/>
      <c r="E776" s="9"/>
      <c r="F776" s="9"/>
      <c r="G776" s="9"/>
      <c r="H776" s="16"/>
      <c r="I776" s="9"/>
      <c r="K776" s="3"/>
      <c r="U776" s="3"/>
      <c r="AE776" s="3"/>
      <c r="AO776" s="3"/>
    </row>
    <row r="777" ht="14.25" customHeight="1">
      <c r="C777" s="9"/>
      <c r="D777" s="9"/>
      <c r="E777" s="9"/>
      <c r="F777" s="9"/>
      <c r="G777" s="9"/>
      <c r="H777" s="16"/>
      <c r="I777" s="9"/>
      <c r="K777" s="3"/>
      <c r="U777" s="3"/>
      <c r="AE777" s="3"/>
      <c r="AO777" s="3"/>
    </row>
    <row r="778" ht="14.25" customHeight="1">
      <c r="C778" s="9"/>
      <c r="D778" s="9"/>
      <c r="E778" s="9"/>
      <c r="F778" s="9"/>
      <c r="G778" s="9"/>
      <c r="H778" s="16"/>
      <c r="I778" s="9"/>
      <c r="K778" s="3"/>
      <c r="U778" s="3"/>
      <c r="AE778" s="3"/>
      <c r="AO778" s="3"/>
    </row>
    <row r="779" ht="14.25" customHeight="1">
      <c r="C779" s="9"/>
      <c r="D779" s="9"/>
      <c r="E779" s="9"/>
      <c r="F779" s="9"/>
      <c r="G779" s="9"/>
      <c r="H779" s="16"/>
      <c r="I779" s="9"/>
      <c r="K779" s="3"/>
      <c r="U779" s="3"/>
      <c r="AE779" s="3"/>
      <c r="AO779" s="3"/>
    </row>
    <row r="780" ht="14.25" customHeight="1">
      <c r="C780" s="9"/>
      <c r="D780" s="9"/>
      <c r="E780" s="9"/>
      <c r="F780" s="9"/>
      <c r="G780" s="9"/>
      <c r="H780" s="16"/>
      <c r="I780" s="9"/>
      <c r="K780" s="3"/>
      <c r="U780" s="3"/>
      <c r="AE780" s="3"/>
      <c r="AO780" s="3"/>
    </row>
    <row r="781" ht="14.25" customHeight="1">
      <c r="C781" s="9"/>
      <c r="D781" s="9"/>
      <c r="E781" s="9"/>
      <c r="F781" s="9"/>
      <c r="G781" s="9"/>
      <c r="H781" s="16"/>
      <c r="I781" s="9"/>
      <c r="K781" s="3"/>
      <c r="U781" s="3"/>
      <c r="AE781" s="3"/>
      <c r="AO781" s="3"/>
    </row>
    <row r="782" ht="14.25" customHeight="1">
      <c r="C782" s="9"/>
      <c r="D782" s="9"/>
      <c r="E782" s="9"/>
      <c r="F782" s="9"/>
      <c r="G782" s="9"/>
      <c r="H782" s="16"/>
      <c r="I782" s="9"/>
      <c r="K782" s="3"/>
      <c r="U782" s="3"/>
      <c r="AE782" s="3"/>
      <c r="AO782" s="3"/>
    </row>
    <row r="783" ht="14.25" customHeight="1">
      <c r="C783" s="9"/>
      <c r="D783" s="9"/>
      <c r="E783" s="9"/>
      <c r="F783" s="9"/>
      <c r="G783" s="9"/>
      <c r="H783" s="16"/>
      <c r="I783" s="9"/>
      <c r="K783" s="3"/>
      <c r="U783" s="3"/>
      <c r="AE783" s="3"/>
      <c r="AO783" s="3"/>
    </row>
    <row r="784" ht="14.25" customHeight="1">
      <c r="C784" s="9"/>
      <c r="D784" s="9"/>
      <c r="E784" s="9"/>
      <c r="F784" s="9"/>
      <c r="G784" s="9"/>
      <c r="H784" s="16"/>
      <c r="I784" s="9"/>
      <c r="K784" s="3"/>
      <c r="U784" s="3"/>
      <c r="AE784" s="3"/>
      <c r="AO784" s="3"/>
    </row>
    <row r="785" ht="14.25" customHeight="1">
      <c r="C785" s="9"/>
      <c r="D785" s="9"/>
      <c r="E785" s="9"/>
      <c r="F785" s="9"/>
      <c r="G785" s="9"/>
      <c r="H785" s="16"/>
      <c r="I785" s="9"/>
      <c r="K785" s="3"/>
      <c r="U785" s="3"/>
      <c r="AE785" s="3"/>
      <c r="AO785" s="3"/>
    </row>
    <row r="786" ht="14.25" customHeight="1">
      <c r="C786" s="9"/>
      <c r="D786" s="9"/>
      <c r="E786" s="9"/>
      <c r="F786" s="9"/>
      <c r="G786" s="9"/>
      <c r="H786" s="16"/>
      <c r="I786" s="9"/>
      <c r="K786" s="3"/>
      <c r="U786" s="3"/>
      <c r="AE786" s="3"/>
      <c r="AO786" s="3"/>
    </row>
    <row r="787" ht="14.25" customHeight="1">
      <c r="C787" s="9"/>
      <c r="D787" s="9"/>
      <c r="E787" s="9"/>
      <c r="F787" s="9"/>
      <c r="G787" s="9"/>
      <c r="H787" s="16"/>
      <c r="I787" s="9"/>
      <c r="K787" s="3"/>
      <c r="U787" s="3"/>
      <c r="AE787" s="3"/>
      <c r="AO787" s="3"/>
    </row>
    <row r="788" ht="14.25" customHeight="1">
      <c r="C788" s="9"/>
      <c r="D788" s="9"/>
      <c r="E788" s="9"/>
      <c r="F788" s="9"/>
      <c r="G788" s="9"/>
      <c r="H788" s="16"/>
      <c r="I788" s="9"/>
      <c r="K788" s="3"/>
      <c r="U788" s="3"/>
      <c r="AE788" s="3"/>
      <c r="AO788" s="3"/>
    </row>
    <row r="789" ht="14.25" customHeight="1">
      <c r="C789" s="9"/>
      <c r="D789" s="9"/>
      <c r="E789" s="9"/>
      <c r="F789" s="9"/>
      <c r="G789" s="9"/>
      <c r="H789" s="16"/>
      <c r="I789" s="9"/>
      <c r="K789" s="3"/>
      <c r="U789" s="3"/>
      <c r="AE789" s="3"/>
      <c r="AO789" s="3"/>
    </row>
    <row r="790" ht="14.25" customHeight="1">
      <c r="C790" s="9"/>
      <c r="D790" s="9"/>
      <c r="E790" s="9"/>
      <c r="F790" s="9"/>
      <c r="G790" s="9"/>
      <c r="H790" s="16"/>
      <c r="I790" s="9"/>
      <c r="K790" s="3"/>
      <c r="U790" s="3"/>
      <c r="AE790" s="3"/>
      <c r="AO790" s="3"/>
    </row>
    <row r="791" ht="14.25" customHeight="1">
      <c r="C791" s="9"/>
      <c r="D791" s="9"/>
      <c r="E791" s="9"/>
      <c r="F791" s="9"/>
      <c r="G791" s="9"/>
      <c r="H791" s="16"/>
      <c r="I791" s="9"/>
      <c r="K791" s="3"/>
      <c r="U791" s="3"/>
      <c r="AE791" s="3"/>
      <c r="AO791" s="3"/>
    </row>
    <row r="792" ht="14.25" customHeight="1">
      <c r="C792" s="9"/>
      <c r="D792" s="9"/>
      <c r="E792" s="9"/>
      <c r="F792" s="9"/>
      <c r="G792" s="9"/>
      <c r="H792" s="16"/>
      <c r="I792" s="9"/>
      <c r="K792" s="3"/>
      <c r="U792" s="3"/>
      <c r="AE792" s="3"/>
      <c r="AO792" s="3"/>
    </row>
    <row r="793" ht="14.25" customHeight="1">
      <c r="C793" s="9"/>
      <c r="D793" s="9"/>
      <c r="E793" s="9"/>
      <c r="F793" s="9"/>
      <c r="G793" s="9"/>
      <c r="H793" s="16"/>
      <c r="I793" s="9"/>
      <c r="K793" s="3"/>
      <c r="U793" s="3"/>
      <c r="AE793" s="3"/>
      <c r="AO793" s="3"/>
    </row>
    <row r="794" ht="14.25" customHeight="1">
      <c r="C794" s="9"/>
      <c r="D794" s="9"/>
      <c r="E794" s="9"/>
      <c r="F794" s="9"/>
      <c r="G794" s="9"/>
      <c r="H794" s="16"/>
      <c r="I794" s="9"/>
      <c r="K794" s="3"/>
      <c r="U794" s="3"/>
      <c r="AE794" s="3"/>
      <c r="AO794" s="3"/>
    </row>
    <row r="795" ht="14.25" customHeight="1">
      <c r="C795" s="9"/>
      <c r="D795" s="9"/>
      <c r="E795" s="9"/>
      <c r="F795" s="9"/>
      <c r="G795" s="9"/>
      <c r="H795" s="16"/>
      <c r="I795" s="9"/>
      <c r="K795" s="3"/>
      <c r="U795" s="3"/>
      <c r="AE795" s="3"/>
      <c r="AO795" s="3"/>
    </row>
    <row r="796" ht="14.25" customHeight="1">
      <c r="C796" s="9"/>
      <c r="D796" s="9"/>
      <c r="E796" s="9"/>
      <c r="F796" s="9"/>
      <c r="G796" s="9"/>
      <c r="H796" s="16"/>
      <c r="I796" s="9"/>
      <c r="K796" s="3"/>
      <c r="U796" s="3"/>
      <c r="AE796" s="3"/>
      <c r="AO796" s="3"/>
    </row>
    <row r="797" ht="14.25" customHeight="1">
      <c r="C797" s="9"/>
      <c r="D797" s="9"/>
      <c r="E797" s="9"/>
      <c r="F797" s="9"/>
      <c r="G797" s="9"/>
      <c r="H797" s="16"/>
      <c r="I797" s="9"/>
      <c r="K797" s="3"/>
      <c r="U797" s="3"/>
      <c r="AE797" s="3"/>
      <c r="AO797" s="3"/>
    </row>
    <row r="798" ht="14.25" customHeight="1">
      <c r="C798" s="9"/>
      <c r="D798" s="9"/>
      <c r="E798" s="9"/>
      <c r="F798" s="9"/>
      <c r="G798" s="9"/>
      <c r="H798" s="16"/>
      <c r="I798" s="9"/>
      <c r="K798" s="3"/>
      <c r="U798" s="3"/>
      <c r="AE798" s="3"/>
      <c r="AO798" s="3"/>
    </row>
    <row r="799" ht="14.25" customHeight="1">
      <c r="C799" s="9"/>
      <c r="D799" s="9"/>
      <c r="E799" s="9"/>
      <c r="F799" s="9"/>
      <c r="G799" s="9"/>
      <c r="H799" s="16"/>
      <c r="I799" s="9"/>
      <c r="K799" s="3"/>
      <c r="U799" s="3"/>
      <c r="AE799" s="3"/>
      <c r="AO799" s="3"/>
    </row>
    <row r="800" ht="14.25" customHeight="1">
      <c r="C800" s="9"/>
      <c r="D800" s="9"/>
      <c r="E800" s="9"/>
      <c r="F800" s="9"/>
      <c r="G800" s="9"/>
      <c r="H800" s="16"/>
      <c r="I800" s="9"/>
      <c r="K800" s="3"/>
      <c r="U800" s="3"/>
      <c r="AE800" s="3"/>
      <c r="AO800" s="3"/>
    </row>
    <row r="801" ht="14.25" customHeight="1">
      <c r="C801" s="9"/>
      <c r="D801" s="9"/>
      <c r="E801" s="9"/>
      <c r="F801" s="9"/>
      <c r="G801" s="9"/>
      <c r="H801" s="16"/>
      <c r="I801" s="9"/>
      <c r="K801" s="3"/>
      <c r="U801" s="3"/>
      <c r="AE801" s="3"/>
      <c r="AO801" s="3"/>
    </row>
    <row r="802" ht="14.25" customHeight="1">
      <c r="C802" s="9"/>
      <c r="D802" s="9"/>
      <c r="E802" s="9"/>
      <c r="F802" s="9"/>
      <c r="G802" s="9"/>
      <c r="H802" s="16"/>
      <c r="I802" s="9"/>
      <c r="K802" s="3"/>
      <c r="U802" s="3"/>
      <c r="AE802" s="3"/>
      <c r="AO802" s="3"/>
    </row>
    <row r="803" ht="14.25" customHeight="1">
      <c r="C803" s="9"/>
      <c r="D803" s="9"/>
      <c r="E803" s="9"/>
      <c r="F803" s="9"/>
      <c r="G803" s="9"/>
      <c r="H803" s="16"/>
      <c r="I803" s="9"/>
      <c r="K803" s="3"/>
      <c r="U803" s="3"/>
      <c r="AE803" s="3"/>
      <c r="AO803" s="3"/>
    </row>
    <row r="804" ht="14.25" customHeight="1">
      <c r="C804" s="9"/>
      <c r="D804" s="9"/>
      <c r="E804" s="9"/>
      <c r="F804" s="9"/>
      <c r="G804" s="9"/>
      <c r="H804" s="16"/>
      <c r="I804" s="9"/>
      <c r="K804" s="3"/>
      <c r="U804" s="3"/>
      <c r="AE804" s="3"/>
      <c r="AO804" s="3"/>
    </row>
    <row r="805" ht="14.25" customHeight="1">
      <c r="C805" s="9"/>
      <c r="D805" s="9"/>
      <c r="E805" s="9"/>
      <c r="F805" s="9"/>
      <c r="G805" s="9"/>
      <c r="H805" s="16"/>
      <c r="I805" s="9"/>
      <c r="K805" s="3"/>
      <c r="U805" s="3"/>
      <c r="AE805" s="3"/>
      <c r="AO805" s="3"/>
    </row>
    <row r="806" ht="14.25" customHeight="1">
      <c r="C806" s="9"/>
      <c r="D806" s="9"/>
      <c r="E806" s="9"/>
      <c r="F806" s="9"/>
      <c r="G806" s="9"/>
      <c r="H806" s="16"/>
      <c r="I806" s="9"/>
      <c r="K806" s="3"/>
      <c r="U806" s="3"/>
      <c r="AE806" s="3"/>
      <c r="AO806" s="3"/>
    </row>
    <row r="807" ht="14.25" customHeight="1">
      <c r="C807" s="9"/>
      <c r="D807" s="9"/>
      <c r="E807" s="9"/>
      <c r="F807" s="9"/>
      <c r="G807" s="9"/>
      <c r="H807" s="16"/>
      <c r="I807" s="9"/>
      <c r="K807" s="3"/>
      <c r="U807" s="3"/>
      <c r="AE807" s="3"/>
      <c r="AO807" s="3"/>
    </row>
    <row r="808" ht="14.25" customHeight="1">
      <c r="C808" s="9"/>
      <c r="D808" s="9"/>
      <c r="E808" s="9"/>
      <c r="F808" s="9"/>
      <c r="G808" s="9"/>
      <c r="H808" s="16"/>
      <c r="I808" s="9"/>
      <c r="K808" s="3"/>
      <c r="U808" s="3"/>
      <c r="AE808" s="3"/>
      <c r="AO808" s="3"/>
    </row>
    <row r="809" ht="14.25" customHeight="1">
      <c r="C809" s="9"/>
      <c r="D809" s="9"/>
      <c r="E809" s="9"/>
      <c r="F809" s="9"/>
      <c r="G809" s="9"/>
      <c r="H809" s="16"/>
      <c r="I809" s="9"/>
      <c r="K809" s="3"/>
      <c r="U809" s="3"/>
      <c r="AE809" s="3"/>
      <c r="AO809" s="3"/>
    </row>
    <row r="810" ht="14.25" customHeight="1">
      <c r="C810" s="9"/>
      <c r="D810" s="9"/>
      <c r="E810" s="9"/>
      <c r="F810" s="9"/>
      <c r="G810" s="9"/>
      <c r="H810" s="16"/>
      <c r="I810" s="9"/>
      <c r="K810" s="3"/>
      <c r="U810" s="3"/>
      <c r="AE810" s="3"/>
      <c r="AO810" s="3"/>
    </row>
    <row r="811" ht="14.25" customHeight="1">
      <c r="C811" s="9"/>
      <c r="D811" s="9"/>
      <c r="E811" s="9"/>
      <c r="F811" s="9"/>
      <c r="G811" s="9"/>
      <c r="H811" s="16"/>
      <c r="I811" s="9"/>
      <c r="K811" s="3"/>
      <c r="U811" s="3"/>
      <c r="AE811" s="3"/>
      <c r="AO811" s="3"/>
    </row>
    <row r="812" ht="14.25" customHeight="1">
      <c r="C812" s="9"/>
      <c r="D812" s="9"/>
      <c r="E812" s="9"/>
      <c r="F812" s="9"/>
      <c r="G812" s="9"/>
      <c r="H812" s="16"/>
      <c r="I812" s="9"/>
      <c r="K812" s="3"/>
      <c r="U812" s="3"/>
      <c r="AE812" s="3"/>
      <c r="AO812" s="3"/>
    </row>
    <row r="813" ht="14.25" customHeight="1">
      <c r="C813" s="9"/>
      <c r="D813" s="9"/>
      <c r="E813" s="9"/>
      <c r="F813" s="9"/>
      <c r="G813" s="9"/>
      <c r="H813" s="16"/>
      <c r="I813" s="9"/>
      <c r="K813" s="3"/>
      <c r="U813" s="3"/>
      <c r="AE813" s="3"/>
      <c r="AO813" s="3"/>
    </row>
    <row r="814" ht="14.25" customHeight="1">
      <c r="C814" s="9"/>
      <c r="D814" s="9"/>
      <c r="E814" s="9"/>
      <c r="F814" s="9"/>
      <c r="G814" s="9"/>
      <c r="H814" s="16"/>
      <c r="I814" s="9"/>
      <c r="K814" s="3"/>
      <c r="U814" s="3"/>
      <c r="AE814" s="3"/>
      <c r="AO814" s="3"/>
    </row>
    <row r="815" ht="14.25" customHeight="1">
      <c r="C815" s="9"/>
      <c r="D815" s="9"/>
      <c r="E815" s="9"/>
      <c r="F815" s="9"/>
      <c r="G815" s="9"/>
      <c r="H815" s="16"/>
      <c r="I815" s="9"/>
      <c r="K815" s="3"/>
      <c r="U815" s="3"/>
      <c r="AE815" s="3"/>
      <c r="AO815" s="3"/>
    </row>
    <row r="816" ht="14.25" customHeight="1">
      <c r="C816" s="9"/>
      <c r="D816" s="9"/>
      <c r="E816" s="9"/>
      <c r="F816" s="9"/>
      <c r="G816" s="9"/>
      <c r="H816" s="16"/>
      <c r="I816" s="9"/>
      <c r="K816" s="3"/>
      <c r="U816" s="3"/>
      <c r="AE816" s="3"/>
      <c r="AO816" s="3"/>
    </row>
    <row r="817" ht="14.25" customHeight="1">
      <c r="C817" s="9"/>
      <c r="D817" s="9"/>
      <c r="E817" s="9"/>
      <c r="F817" s="9"/>
      <c r="G817" s="9"/>
      <c r="H817" s="16"/>
      <c r="I817" s="9"/>
      <c r="K817" s="3"/>
      <c r="U817" s="3"/>
      <c r="AE817" s="3"/>
      <c r="AO817" s="3"/>
    </row>
    <row r="818" ht="14.25" customHeight="1">
      <c r="C818" s="9"/>
      <c r="D818" s="9"/>
      <c r="E818" s="9"/>
      <c r="F818" s="9"/>
      <c r="G818" s="9"/>
      <c r="H818" s="16"/>
      <c r="I818" s="9"/>
      <c r="K818" s="3"/>
      <c r="U818" s="3"/>
      <c r="AE818" s="3"/>
      <c r="AO818" s="3"/>
    </row>
    <row r="819" ht="14.25" customHeight="1">
      <c r="C819" s="9"/>
      <c r="D819" s="9"/>
      <c r="E819" s="9"/>
      <c r="F819" s="9"/>
      <c r="G819" s="9"/>
      <c r="H819" s="16"/>
      <c r="I819" s="9"/>
      <c r="K819" s="3"/>
      <c r="U819" s="3"/>
      <c r="AE819" s="3"/>
      <c r="AO819" s="3"/>
    </row>
    <row r="820" ht="14.25" customHeight="1">
      <c r="C820" s="9"/>
      <c r="D820" s="9"/>
      <c r="E820" s="9"/>
      <c r="F820" s="9"/>
      <c r="G820" s="9"/>
      <c r="H820" s="16"/>
      <c r="I820" s="9"/>
      <c r="K820" s="3"/>
      <c r="U820" s="3"/>
      <c r="AE820" s="3"/>
      <c r="AO820" s="3"/>
    </row>
    <row r="821" ht="14.25" customHeight="1">
      <c r="C821" s="9"/>
      <c r="D821" s="9"/>
      <c r="E821" s="9"/>
      <c r="F821" s="9"/>
      <c r="G821" s="9"/>
      <c r="H821" s="16"/>
      <c r="I821" s="9"/>
      <c r="K821" s="3"/>
      <c r="U821" s="3"/>
      <c r="AE821" s="3"/>
      <c r="AO821" s="3"/>
    </row>
    <row r="822" ht="14.25" customHeight="1">
      <c r="C822" s="9"/>
      <c r="D822" s="9"/>
      <c r="E822" s="9"/>
      <c r="F822" s="9"/>
      <c r="G822" s="9"/>
      <c r="H822" s="16"/>
      <c r="I822" s="9"/>
      <c r="K822" s="3"/>
      <c r="U822" s="3"/>
      <c r="AE822" s="3"/>
      <c r="AO822" s="3"/>
    </row>
    <row r="823" ht="14.25" customHeight="1">
      <c r="C823" s="9"/>
      <c r="D823" s="9"/>
      <c r="E823" s="9"/>
      <c r="F823" s="9"/>
      <c r="G823" s="9"/>
      <c r="H823" s="16"/>
      <c r="I823" s="9"/>
      <c r="K823" s="3"/>
      <c r="U823" s="3"/>
      <c r="AE823" s="3"/>
      <c r="AO823" s="3"/>
    </row>
    <row r="824" ht="14.25" customHeight="1">
      <c r="C824" s="9"/>
      <c r="D824" s="9"/>
      <c r="E824" s="9"/>
      <c r="F824" s="9"/>
      <c r="G824" s="9"/>
      <c r="H824" s="16"/>
      <c r="I824" s="9"/>
      <c r="K824" s="3"/>
      <c r="U824" s="3"/>
      <c r="AE824" s="3"/>
      <c r="AO824" s="3"/>
    </row>
    <row r="825" ht="14.25" customHeight="1">
      <c r="C825" s="9"/>
      <c r="D825" s="9"/>
      <c r="E825" s="9"/>
      <c r="F825" s="9"/>
      <c r="G825" s="9"/>
      <c r="H825" s="16"/>
      <c r="I825" s="9"/>
      <c r="K825" s="3"/>
      <c r="U825" s="3"/>
      <c r="AE825" s="3"/>
      <c r="AO825" s="3"/>
    </row>
    <row r="826" ht="14.25" customHeight="1">
      <c r="C826" s="9"/>
      <c r="D826" s="9"/>
      <c r="E826" s="9"/>
      <c r="F826" s="9"/>
      <c r="G826" s="9"/>
      <c r="H826" s="16"/>
      <c r="I826" s="9"/>
      <c r="K826" s="3"/>
      <c r="U826" s="3"/>
      <c r="AE826" s="3"/>
      <c r="AO826" s="3"/>
    </row>
    <row r="827" ht="14.25" customHeight="1">
      <c r="C827" s="9"/>
      <c r="D827" s="9"/>
      <c r="E827" s="9"/>
      <c r="F827" s="9"/>
      <c r="G827" s="9"/>
      <c r="H827" s="16"/>
      <c r="I827" s="9"/>
      <c r="K827" s="3"/>
      <c r="U827" s="3"/>
      <c r="AE827" s="3"/>
      <c r="AO827" s="3"/>
    </row>
    <row r="828" ht="14.25" customHeight="1">
      <c r="C828" s="9"/>
      <c r="D828" s="9"/>
      <c r="E828" s="9"/>
      <c r="F828" s="9"/>
      <c r="G828" s="9"/>
      <c r="H828" s="16"/>
      <c r="I828" s="9"/>
      <c r="K828" s="3"/>
      <c r="U828" s="3"/>
      <c r="AE828" s="3"/>
      <c r="AO828" s="3"/>
    </row>
    <row r="829" ht="14.25" customHeight="1">
      <c r="C829" s="9"/>
      <c r="D829" s="9"/>
      <c r="E829" s="9"/>
      <c r="F829" s="9"/>
      <c r="G829" s="9"/>
      <c r="H829" s="16"/>
      <c r="I829" s="9"/>
      <c r="K829" s="3"/>
      <c r="U829" s="3"/>
      <c r="AE829" s="3"/>
      <c r="AO829" s="3"/>
    </row>
    <row r="830" ht="14.25" customHeight="1">
      <c r="C830" s="9"/>
      <c r="D830" s="9"/>
      <c r="E830" s="9"/>
      <c r="F830" s="9"/>
      <c r="G830" s="9"/>
      <c r="H830" s="16"/>
      <c r="I830" s="9"/>
      <c r="K830" s="3"/>
      <c r="U830" s="3"/>
      <c r="AE830" s="3"/>
      <c r="AO830" s="3"/>
    </row>
    <row r="831" ht="14.25" customHeight="1">
      <c r="C831" s="9"/>
      <c r="D831" s="9"/>
      <c r="E831" s="9"/>
      <c r="F831" s="9"/>
      <c r="G831" s="9"/>
      <c r="H831" s="16"/>
      <c r="I831" s="9"/>
      <c r="K831" s="3"/>
      <c r="U831" s="3"/>
      <c r="AE831" s="3"/>
      <c r="AO831" s="3"/>
    </row>
    <row r="832" ht="14.25" customHeight="1">
      <c r="C832" s="9"/>
      <c r="D832" s="9"/>
      <c r="E832" s="9"/>
      <c r="F832" s="9"/>
      <c r="G832" s="9"/>
      <c r="H832" s="16"/>
      <c r="I832" s="9"/>
      <c r="K832" s="3"/>
      <c r="U832" s="3"/>
      <c r="AE832" s="3"/>
      <c r="AO832" s="3"/>
    </row>
    <row r="833" ht="14.25" customHeight="1">
      <c r="C833" s="9"/>
      <c r="D833" s="9"/>
      <c r="E833" s="9"/>
      <c r="F833" s="9"/>
      <c r="G833" s="9"/>
      <c r="H833" s="16"/>
      <c r="I833" s="9"/>
      <c r="K833" s="3"/>
      <c r="U833" s="3"/>
      <c r="AE833" s="3"/>
      <c r="AO833" s="3"/>
    </row>
    <row r="834" ht="14.25" customHeight="1">
      <c r="C834" s="9"/>
      <c r="D834" s="9"/>
      <c r="E834" s="9"/>
      <c r="F834" s="9"/>
      <c r="G834" s="9"/>
      <c r="H834" s="16"/>
      <c r="I834" s="9"/>
      <c r="K834" s="3"/>
      <c r="U834" s="3"/>
      <c r="AE834" s="3"/>
      <c r="AO834" s="3"/>
    </row>
    <row r="835" ht="14.25" customHeight="1">
      <c r="C835" s="9"/>
      <c r="D835" s="9"/>
      <c r="E835" s="9"/>
      <c r="F835" s="9"/>
      <c r="G835" s="9"/>
      <c r="H835" s="16"/>
      <c r="I835" s="9"/>
      <c r="K835" s="3"/>
      <c r="U835" s="3"/>
      <c r="AE835" s="3"/>
      <c r="AO835" s="3"/>
    </row>
    <row r="836" ht="14.25" customHeight="1">
      <c r="C836" s="9"/>
      <c r="D836" s="9"/>
      <c r="E836" s="9"/>
      <c r="F836" s="9"/>
      <c r="G836" s="9"/>
      <c r="H836" s="16"/>
      <c r="I836" s="9"/>
      <c r="K836" s="3"/>
      <c r="U836" s="3"/>
      <c r="AE836" s="3"/>
      <c r="AO836" s="3"/>
    </row>
    <row r="837" ht="14.25" customHeight="1">
      <c r="C837" s="9"/>
      <c r="D837" s="9"/>
      <c r="E837" s="9"/>
      <c r="F837" s="9"/>
      <c r="G837" s="9"/>
      <c r="H837" s="16"/>
      <c r="I837" s="9"/>
      <c r="K837" s="3"/>
      <c r="U837" s="3"/>
      <c r="AE837" s="3"/>
      <c r="AO837" s="3"/>
    </row>
    <row r="838" ht="14.25" customHeight="1">
      <c r="C838" s="9"/>
      <c r="D838" s="9"/>
      <c r="E838" s="9"/>
      <c r="F838" s="9"/>
      <c r="G838" s="9"/>
      <c r="H838" s="16"/>
      <c r="I838" s="9"/>
      <c r="K838" s="3"/>
      <c r="U838" s="3"/>
      <c r="AE838" s="3"/>
      <c r="AO838" s="3"/>
    </row>
    <row r="839" ht="14.25" customHeight="1">
      <c r="C839" s="9"/>
      <c r="D839" s="9"/>
      <c r="E839" s="9"/>
      <c r="F839" s="9"/>
      <c r="G839" s="9"/>
      <c r="H839" s="16"/>
      <c r="I839" s="9"/>
      <c r="K839" s="3"/>
      <c r="U839" s="3"/>
      <c r="AE839" s="3"/>
      <c r="AO839" s="3"/>
    </row>
    <row r="840" ht="14.25" customHeight="1">
      <c r="C840" s="9"/>
      <c r="D840" s="9"/>
      <c r="E840" s="9"/>
      <c r="F840" s="9"/>
      <c r="G840" s="9"/>
      <c r="H840" s="16"/>
      <c r="I840" s="9"/>
      <c r="K840" s="3"/>
      <c r="U840" s="3"/>
      <c r="AE840" s="3"/>
      <c r="AO840" s="3"/>
    </row>
    <row r="841" ht="14.25" customHeight="1">
      <c r="C841" s="9"/>
      <c r="D841" s="9"/>
      <c r="E841" s="9"/>
      <c r="F841" s="9"/>
      <c r="G841" s="9"/>
      <c r="H841" s="16"/>
      <c r="I841" s="9"/>
      <c r="K841" s="3"/>
      <c r="U841" s="3"/>
      <c r="AE841" s="3"/>
      <c r="AO841" s="3"/>
    </row>
    <row r="842" ht="14.25" customHeight="1">
      <c r="C842" s="9"/>
      <c r="D842" s="9"/>
      <c r="E842" s="9"/>
      <c r="F842" s="9"/>
      <c r="G842" s="9"/>
      <c r="H842" s="16"/>
      <c r="I842" s="9"/>
      <c r="K842" s="3"/>
      <c r="U842" s="3"/>
      <c r="AE842" s="3"/>
      <c r="AO842" s="3"/>
    </row>
    <row r="843" ht="14.25" customHeight="1">
      <c r="C843" s="9"/>
      <c r="D843" s="9"/>
      <c r="E843" s="9"/>
      <c r="F843" s="9"/>
      <c r="G843" s="9"/>
      <c r="H843" s="16"/>
      <c r="I843" s="9"/>
      <c r="K843" s="3"/>
      <c r="U843" s="3"/>
      <c r="AE843" s="3"/>
      <c r="AO843" s="3"/>
    </row>
    <row r="844" ht="14.25" customHeight="1">
      <c r="C844" s="9"/>
      <c r="D844" s="9"/>
      <c r="E844" s="9"/>
      <c r="F844" s="9"/>
      <c r="G844" s="9"/>
      <c r="H844" s="16"/>
      <c r="I844" s="9"/>
      <c r="K844" s="3"/>
      <c r="U844" s="3"/>
      <c r="AE844" s="3"/>
      <c r="AO844" s="3"/>
    </row>
    <row r="845" ht="14.25" customHeight="1">
      <c r="C845" s="9"/>
      <c r="D845" s="9"/>
      <c r="E845" s="9"/>
      <c r="F845" s="9"/>
      <c r="G845" s="9"/>
      <c r="H845" s="16"/>
      <c r="I845" s="9"/>
      <c r="K845" s="3"/>
      <c r="U845" s="3"/>
      <c r="AE845" s="3"/>
      <c r="AO845" s="3"/>
    </row>
    <row r="846" ht="14.25" customHeight="1">
      <c r="C846" s="9"/>
      <c r="D846" s="9"/>
      <c r="E846" s="9"/>
      <c r="F846" s="9"/>
      <c r="G846" s="9"/>
      <c r="H846" s="16"/>
      <c r="I846" s="9"/>
      <c r="K846" s="3"/>
      <c r="U846" s="3"/>
      <c r="AE846" s="3"/>
      <c r="AO846" s="3"/>
    </row>
    <row r="847" ht="14.25" customHeight="1">
      <c r="C847" s="9"/>
      <c r="D847" s="9"/>
      <c r="E847" s="9"/>
      <c r="F847" s="9"/>
      <c r="G847" s="9"/>
      <c r="H847" s="16"/>
      <c r="I847" s="9"/>
      <c r="K847" s="3"/>
      <c r="U847" s="3"/>
      <c r="AE847" s="3"/>
      <c r="AO847" s="3"/>
    </row>
    <row r="848" ht="14.25" customHeight="1">
      <c r="C848" s="9"/>
      <c r="D848" s="9"/>
      <c r="E848" s="9"/>
      <c r="F848" s="9"/>
      <c r="G848" s="9"/>
      <c r="H848" s="16"/>
      <c r="I848" s="9"/>
      <c r="K848" s="3"/>
      <c r="U848" s="3"/>
      <c r="AE848" s="3"/>
      <c r="AO848" s="3"/>
    </row>
    <row r="849" ht="14.25" customHeight="1">
      <c r="C849" s="9"/>
      <c r="D849" s="9"/>
      <c r="E849" s="9"/>
      <c r="F849" s="9"/>
      <c r="G849" s="9"/>
      <c r="H849" s="16"/>
      <c r="I849" s="9"/>
      <c r="K849" s="3"/>
      <c r="U849" s="3"/>
      <c r="AE849" s="3"/>
      <c r="AO849" s="3"/>
    </row>
    <row r="850" ht="14.25" customHeight="1">
      <c r="C850" s="9"/>
      <c r="D850" s="9"/>
      <c r="E850" s="9"/>
      <c r="F850" s="9"/>
      <c r="G850" s="9"/>
      <c r="H850" s="16"/>
      <c r="I850" s="9"/>
      <c r="K850" s="3"/>
      <c r="U850" s="3"/>
      <c r="AE850" s="3"/>
      <c r="AO850" s="3"/>
    </row>
    <row r="851" ht="14.25" customHeight="1">
      <c r="C851" s="9"/>
      <c r="D851" s="9"/>
      <c r="E851" s="9"/>
      <c r="F851" s="9"/>
      <c r="G851" s="9"/>
      <c r="H851" s="16"/>
      <c r="I851" s="9"/>
      <c r="K851" s="3"/>
      <c r="U851" s="3"/>
      <c r="AE851" s="3"/>
      <c r="AO851" s="3"/>
    </row>
    <row r="852" ht="14.25" customHeight="1">
      <c r="C852" s="9"/>
      <c r="D852" s="9"/>
      <c r="E852" s="9"/>
      <c r="F852" s="9"/>
      <c r="G852" s="9"/>
      <c r="H852" s="16"/>
      <c r="I852" s="9"/>
      <c r="K852" s="3"/>
      <c r="U852" s="3"/>
      <c r="AE852" s="3"/>
      <c r="AO852" s="3"/>
    </row>
    <row r="853" ht="14.25" customHeight="1">
      <c r="C853" s="9"/>
      <c r="D853" s="9"/>
      <c r="E853" s="9"/>
      <c r="F853" s="9"/>
      <c r="G853" s="9"/>
      <c r="H853" s="16"/>
      <c r="I853" s="9"/>
      <c r="K853" s="3"/>
      <c r="U853" s="3"/>
      <c r="AE853" s="3"/>
      <c r="AO853" s="3"/>
    </row>
    <row r="854" ht="14.25" customHeight="1">
      <c r="C854" s="9"/>
      <c r="D854" s="9"/>
      <c r="E854" s="9"/>
      <c r="F854" s="9"/>
      <c r="G854" s="9"/>
      <c r="H854" s="16"/>
      <c r="I854" s="9"/>
      <c r="K854" s="3"/>
      <c r="U854" s="3"/>
      <c r="AE854" s="3"/>
      <c r="AO854" s="3"/>
    </row>
    <row r="855" ht="14.25" customHeight="1">
      <c r="C855" s="9"/>
      <c r="D855" s="9"/>
      <c r="E855" s="9"/>
      <c r="F855" s="9"/>
      <c r="G855" s="9"/>
      <c r="H855" s="16"/>
      <c r="I855" s="9"/>
      <c r="K855" s="3"/>
      <c r="U855" s="3"/>
      <c r="AE855" s="3"/>
      <c r="AO855" s="3"/>
    </row>
    <row r="856" ht="14.25" customHeight="1">
      <c r="C856" s="9"/>
      <c r="D856" s="9"/>
      <c r="E856" s="9"/>
      <c r="F856" s="9"/>
      <c r="G856" s="9"/>
      <c r="H856" s="16"/>
      <c r="I856" s="9"/>
      <c r="K856" s="3"/>
      <c r="U856" s="3"/>
      <c r="AE856" s="3"/>
      <c r="AO856" s="3"/>
    </row>
    <row r="857" ht="14.25" customHeight="1">
      <c r="C857" s="9"/>
      <c r="D857" s="9"/>
      <c r="E857" s="9"/>
      <c r="F857" s="9"/>
      <c r="G857" s="9"/>
      <c r="H857" s="16"/>
      <c r="I857" s="9"/>
      <c r="K857" s="3"/>
      <c r="U857" s="3"/>
      <c r="AE857" s="3"/>
      <c r="AO857" s="3"/>
    </row>
    <row r="858" ht="14.25" customHeight="1">
      <c r="C858" s="9"/>
      <c r="D858" s="9"/>
      <c r="E858" s="9"/>
      <c r="F858" s="9"/>
      <c r="G858" s="9"/>
      <c r="H858" s="16"/>
      <c r="I858" s="9"/>
      <c r="K858" s="3"/>
      <c r="U858" s="3"/>
      <c r="AE858" s="3"/>
      <c r="AO858" s="3"/>
    </row>
    <row r="859" ht="14.25" customHeight="1">
      <c r="C859" s="9"/>
      <c r="D859" s="9"/>
      <c r="E859" s="9"/>
      <c r="F859" s="9"/>
      <c r="G859" s="9"/>
      <c r="H859" s="16"/>
      <c r="I859" s="9"/>
      <c r="K859" s="3"/>
      <c r="U859" s="3"/>
      <c r="AE859" s="3"/>
      <c r="AO859" s="3"/>
    </row>
    <row r="860" ht="14.25" customHeight="1">
      <c r="C860" s="9"/>
      <c r="D860" s="9"/>
      <c r="E860" s="9"/>
      <c r="F860" s="9"/>
      <c r="G860" s="9"/>
      <c r="H860" s="16"/>
      <c r="I860" s="9"/>
      <c r="K860" s="3"/>
      <c r="U860" s="3"/>
      <c r="AE860" s="3"/>
      <c r="AO860" s="3"/>
    </row>
    <row r="861" ht="14.25" customHeight="1">
      <c r="C861" s="9"/>
      <c r="D861" s="9"/>
      <c r="E861" s="9"/>
      <c r="F861" s="9"/>
      <c r="G861" s="9"/>
      <c r="H861" s="16"/>
      <c r="I861" s="9"/>
      <c r="K861" s="3"/>
      <c r="U861" s="3"/>
      <c r="AE861" s="3"/>
      <c r="AO861" s="3"/>
    </row>
    <row r="862" ht="14.25" customHeight="1">
      <c r="C862" s="9"/>
      <c r="D862" s="9"/>
      <c r="E862" s="9"/>
      <c r="F862" s="9"/>
      <c r="G862" s="9"/>
      <c r="H862" s="16"/>
      <c r="I862" s="9"/>
      <c r="K862" s="3"/>
      <c r="U862" s="3"/>
      <c r="AE862" s="3"/>
      <c r="AO862" s="3"/>
    </row>
    <row r="863" ht="14.25" customHeight="1">
      <c r="C863" s="9"/>
      <c r="D863" s="9"/>
      <c r="E863" s="9"/>
      <c r="F863" s="9"/>
      <c r="G863" s="9"/>
      <c r="H863" s="16"/>
      <c r="I863" s="9"/>
      <c r="K863" s="3"/>
      <c r="U863" s="3"/>
      <c r="AE863" s="3"/>
      <c r="AO863" s="3"/>
    </row>
    <row r="864" ht="14.25" customHeight="1">
      <c r="C864" s="9"/>
      <c r="D864" s="9"/>
      <c r="E864" s="9"/>
      <c r="F864" s="9"/>
      <c r="G864" s="9"/>
      <c r="H864" s="16"/>
      <c r="I864" s="9"/>
      <c r="K864" s="3"/>
      <c r="U864" s="3"/>
      <c r="AE864" s="3"/>
      <c r="AO864" s="3"/>
    </row>
    <row r="865" ht="14.25" customHeight="1">
      <c r="C865" s="9"/>
      <c r="D865" s="9"/>
      <c r="E865" s="9"/>
      <c r="F865" s="9"/>
      <c r="G865" s="9"/>
      <c r="H865" s="16"/>
      <c r="I865" s="9"/>
      <c r="K865" s="3"/>
      <c r="U865" s="3"/>
      <c r="AE865" s="3"/>
      <c r="AO865" s="3"/>
    </row>
    <row r="866" ht="14.25" customHeight="1">
      <c r="C866" s="9"/>
      <c r="D866" s="9"/>
      <c r="E866" s="9"/>
      <c r="F866" s="9"/>
      <c r="G866" s="9"/>
      <c r="H866" s="16"/>
      <c r="I866" s="9"/>
      <c r="K866" s="3"/>
      <c r="U866" s="3"/>
      <c r="AE866" s="3"/>
      <c r="AO866" s="3"/>
    </row>
    <row r="867" ht="14.25" customHeight="1">
      <c r="C867" s="9"/>
      <c r="D867" s="9"/>
      <c r="E867" s="9"/>
      <c r="F867" s="9"/>
      <c r="G867" s="9"/>
      <c r="H867" s="16"/>
      <c r="I867" s="9"/>
      <c r="K867" s="3"/>
      <c r="U867" s="3"/>
      <c r="AE867" s="3"/>
      <c r="AO867" s="3"/>
    </row>
    <row r="868" ht="14.25" customHeight="1">
      <c r="C868" s="9"/>
      <c r="D868" s="9"/>
      <c r="E868" s="9"/>
      <c r="F868" s="9"/>
      <c r="G868" s="9"/>
      <c r="H868" s="16"/>
      <c r="I868" s="9"/>
      <c r="K868" s="3"/>
      <c r="U868" s="3"/>
      <c r="AE868" s="3"/>
      <c r="AO868" s="3"/>
    </row>
    <row r="869" ht="14.25" customHeight="1">
      <c r="C869" s="9"/>
      <c r="D869" s="9"/>
      <c r="E869" s="9"/>
      <c r="F869" s="9"/>
      <c r="G869" s="9"/>
      <c r="H869" s="16"/>
      <c r="I869" s="9"/>
      <c r="K869" s="3"/>
      <c r="U869" s="3"/>
      <c r="AE869" s="3"/>
      <c r="AO869" s="3"/>
    </row>
    <row r="870" ht="14.25" customHeight="1">
      <c r="C870" s="9"/>
      <c r="D870" s="9"/>
      <c r="E870" s="9"/>
      <c r="F870" s="9"/>
      <c r="G870" s="9"/>
      <c r="H870" s="16"/>
      <c r="I870" s="9"/>
      <c r="K870" s="3"/>
      <c r="U870" s="3"/>
      <c r="AE870" s="3"/>
      <c r="AO870" s="3"/>
    </row>
    <row r="871" ht="14.25" customHeight="1">
      <c r="C871" s="9"/>
      <c r="D871" s="9"/>
      <c r="E871" s="9"/>
      <c r="F871" s="9"/>
      <c r="G871" s="9"/>
      <c r="H871" s="16"/>
      <c r="I871" s="9"/>
      <c r="K871" s="3"/>
      <c r="U871" s="3"/>
      <c r="AE871" s="3"/>
      <c r="AO871" s="3"/>
    </row>
    <row r="872" ht="14.25" customHeight="1">
      <c r="C872" s="9"/>
      <c r="D872" s="9"/>
      <c r="E872" s="9"/>
      <c r="F872" s="9"/>
      <c r="G872" s="9"/>
      <c r="H872" s="16"/>
      <c r="I872" s="9"/>
      <c r="K872" s="3"/>
      <c r="U872" s="3"/>
      <c r="AE872" s="3"/>
      <c r="AO872" s="3"/>
    </row>
    <row r="873" ht="14.25" customHeight="1">
      <c r="C873" s="9"/>
      <c r="D873" s="9"/>
      <c r="E873" s="9"/>
      <c r="F873" s="9"/>
      <c r="G873" s="9"/>
      <c r="H873" s="16"/>
      <c r="I873" s="9"/>
      <c r="K873" s="3"/>
      <c r="U873" s="3"/>
      <c r="AE873" s="3"/>
      <c r="AO873" s="3"/>
    </row>
    <row r="874" ht="14.25" customHeight="1">
      <c r="C874" s="9"/>
      <c r="D874" s="9"/>
      <c r="E874" s="9"/>
      <c r="F874" s="9"/>
      <c r="G874" s="9"/>
      <c r="H874" s="16"/>
      <c r="I874" s="9"/>
      <c r="K874" s="3"/>
      <c r="U874" s="3"/>
      <c r="AE874" s="3"/>
      <c r="AO874" s="3"/>
    </row>
    <row r="875" ht="14.25" customHeight="1">
      <c r="C875" s="9"/>
      <c r="D875" s="9"/>
      <c r="E875" s="9"/>
      <c r="F875" s="9"/>
      <c r="G875" s="9"/>
      <c r="H875" s="16"/>
      <c r="I875" s="9"/>
      <c r="K875" s="3"/>
      <c r="U875" s="3"/>
      <c r="AE875" s="3"/>
      <c r="AO875" s="3"/>
    </row>
    <row r="876" ht="14.25" customHeight="1">
      <c r="C876" s="9"/>
      <c r="D876" s="9"/>
      <c r="E876" s="9"/>
      <c r="F876" s="9"/>
      <c r="G876" s="9"/>
      <c r="H876" s="16"/>
      <c r="I876" s="9"/>
      <c r="K876" s="3"/>
      <c r="U876" s="3"/>
      <c r="AE876" s="3"/>
      <c r="AO876" s="3"/>
    </row>
    <row r="877" ht="14.25" customHeight="1">
      <c r="C877" s="9"/>
      <c r="D877" s="9"/>
      <c r="E877" s="9"/>
      <c r="F877" s="9"/>
      <c r="G877" s="9"/>
      <c r="H877" s="16"/>
      <c r="I877" s="9"/>
      <c r="K877" s="3"/>
      <c r="U877" s="3"/>
      <c r="AE877" s="3"/>
      <c r="AO877" s="3"/>
    </row>
    <row r="878" ht="14.25" customHeight="1">
      <c r="C878" s="9"/>
      <c r="D878" s="9"/>
      <c r="E878" s="9"/>
      <c r="F878" s="9"/>
      <c r="G878" s="9"/>
      <c r="H878" s="16"/>
      <c r="I878" s="9"/>
      <c r="K878" s="3"/>
      <c r="U878" s="3"/>
      <c r="AE878" s="3"/>
      <c r="AO878" s="3"/>
    </row>
    <row r="879" ht="14.25" customHeight="1">
      <c r="C879" s="9"/>
      <c r="D879" s="9"/>
      <c r="E879" s="9"/>
      <c r="F879" s="9"/>
      <c r="G879" s="9"/>
      <c r="H879" s="16"/>
      <c r="I879" s="9"/>
      <c r="K879" s="3"/>
      <c r="U879" s="3"/>
      <c r="AE879" s="3"/>
      <c r="AO879" s="3"/>
    </row>
    <row r="880" ht="14.25" customHeight="1">
      <c r="C880" s="9"/>
      <c r="D880" s="9"/>
      <c r="E880" s="9"/>
      <c r="F880" s="9"/>
      <c r="G880" s="9"/>
      <c r="H880" s="16"/>
      <c r="I880" s="9"/>
      <c r="K880" s="3"/>
      <c r="U880" s="3"/>
      <c r="AE880" s="3"/>
      <c r="AO880" s="3"/>
    </row>
    <row r="881" ht="14.25" customHeight="1">
      <c r="C881" s="9"/>
      <c r="D881" s="9"/>
      <c r="E881" s="9"/>
      <c r="F881" s="9"/>
      <c r="G881" s="9"/>
      <c r="H881" s="16"/>
      <c r="I881" s="9"/>
      <c r="K881" s="3"/>
      <c r="U881" s="3"/>
      <c r="AE881" s="3"/>
      <c r="AO881" s="3"/>
    </row>
    <row r="882" ht="14.25" customHeight="1">
      <c r="C882" s="9"/>
      <c r="D882" s="9"/>
      <c r="E882" s="9"/>
      <c r="F882" s="9"/>
      <c r="G882" s="9"/>
      <c r="H882" s="16"/>
      <c r="I882" s="9"/>
      <c r="K882" s="3"/>
      <c r="U882" s="3"/>
      <c r="AE882" s="3"/>
      <c r="AO882" s="3"/>
    </row>
    <row r="883" ht="14.25" customHeight="1">
      <c r="C883" s="9"/>
      <c r="D883" s="9"/>
      <c r="E883" s="9"/>
      <c r="F883" s="9"/>
      <c r="G883" s="9"/>
      <c r="H883" s="16"/>
      <c r="I883" s="9"/>
      <c r="K883" s="3"/>
      <c r="U883" s="3"/>
      <c r="AE883" s="3"/>
      <c r="AO883" s="3"/>
    </row>
    <row r="884" ht="14.25" customHeight="1">
      <c r="C884" s="9"/>
      <c r="D884" s="9"/>
      <c r="E884" s="9"/>
      <c r="F884" s="9"/>
      <c r="G884" s="9"/>
      <c r="H884" s="16"/>
      <c r="I884" s="9"/>
      <c r="K884" s="3"/>
      <c r="U884" s="3"/>
      <c r="AE884" s="3"/>
      <c r="AO884" s="3"/>
    </row>
    <row r="885" ht="14.25" customHeight="1">
      <c r="C885" s="9"/>
      <c r="D885" s="9"/>
      <c r="E885" s="9"/>
      <c r="F885" s="9"/>
      <c r="G885" s="9"/>
      <c r="H885" s="16"/>
      <c r="I885" s="9"/>
      <c r="K885" s="3"/>
      <c r="U885" s="3"/>
      <c r="AE885" s="3"/>
      <c r="AO885" s="3"/>
    </row>
    <row r="886" ht="14.25" customHeight="1">
      <c r="C886" s="9"/>
      <c r="D886" s="9"/>
      <c r="E886" s="9"/>
      <c r="F886" s="9"/>
      <c r="G886" s="9"/>
      <c r="H886" s="16"/>
      <c r="I886" s="9"/>
      <c r="K886" s="3"/>
      <c r="U886" s="3"/>
      <c r="AE886" s="3"/>
      <c r="AO886" s="3"/>
    </row>
    <row r="887" ht="14.25" customHeight="1">
      <c r="C887" s="9"/>
      <c r="D887" s="9"/>
      <c r="E887" s="9"/>
      <c r="F887" s="9"/>
      <c r="G887" s="9"/>
      <c r="H887" s="16"/>
      <c r="I887" s="9"/>
      <c r="K887" s="3"/>
      <c r="U887" s="3"/>
      <c r="AE887" s="3"/>
      <c r="AO887" s="3"/>
    </row>
    <row r="888" ht="14.25" customHeight="1">
      <c r="C888" s="9"/>
      <c r="D888" s="9"/>
      <c r="E888" s="9"/>
      <c r="F888" s="9"/>
      <c r="G888" s="9"/>
      <c r="H888" s="16"/>
      <c r="I888" s="9"/>
      <c r="K888" s="3"/>
      <c r="U888" s="3"/>
      <c r="AE888" s="3"/>
      <c r="AO888" s="3"/>
    </row>
    <row r="889" ht="14.25" customHeight="1">
      <c r="C889" s="9"/>
      <c r="D889" s="9"/>
      <c r="E889" s="9"/>
      <c r="F889" s="9"/>
      <c r="G889" s="9"/>
      <c r="H889" s="16"/>
      <c r="I889" s="9"/>
      <c r="K889" s="3"/>
      <c r="U889" s="3"/>
      <c r="AE889" s="3"/>
      <c r="AO889" s="3"/>
    </row>
    <row r="890" ht="14.25" customHeight="1">
      <c r="C890" s="9"/>
      <c r="D890" s="9"/>
      <c r="E890" s="9"/>
      <c r="F890" s="9"/>
      <c r="G890" s="9"/>
      <c r="H890" s="16"/>
      <c r="I890" s="9"/>
      <c r="K890" s="3"/>
      <c r="U890" s="3"/>
      <c r="AE890" s="3"/>
      <c r="AO890" s="3"/>
    </row>
    <row r="891" ht="14.25" customHeight="1">
      <c r="C891" s="9"/>
      <c r="D891" s="9"/>
      <c r="E891" s="9"/>
      <c r="F891" s="9"/>
      <c r="G891" s="9"/>
      <c r="H891" s="16"/>
      <c r="I891" s="9"/>
      <c r="K891" s="3"/>
      <c r="U891" s="3"/>
      <c r="AE891" s="3"/>
      <c r="AO891" s="3"/>
    </row>
    <row r="892" ht="14.25" customHeight="1">
      <c r="C892" s="9"/>
      <c r="D892" s="9"/>
      <c r="E892" s="9"/>
      <c r="F892" s="9"/>
      <c r="G892" s="9"/>
      <c r="H892" s="16"/>
      <c r="I892" s="9"/>
      <c r="K892" s="3"/>
      <c r="U892" s="3"/>
      <c r="AE892" s="3"/>
      <c r="AO892" s="3"/>
    </row>
    <row r="893" ht="14.25" customHeight="1">
      <c r="C893" s="9"/>
      <c r="D893" s="9"/>
      <c r="E893" s="9"/>
      <c r="F893" s="9"/>
      <c r="G893" s="9"/>
      <c r="H893" s="16"/>
      <c r="I893" s="9"/>
      <c r="K893" s="3"/>
      <c r="U893" s="3"/>
      <c r="AE893" s="3"/>
      <c r="AO893" s="3"/>
    </row>
    <row r="894" ht="14.25" customHeight="1">
      <c r="C894" s="9"/>
      <c r="D894" s="9"/>
      <c r="E894" s="9"/>
      <c r="F894" s="9"/>
      <c r="G894" s="9"/>
      <c r="H894" s="16"/>
      <c r="I894" s="9"/>
      <c r="K894" s="3"/>
      <c r="U894" s="3"/>
      <c r="AE894" s="3"/>
      <c r="AO894" s="3"/>
    </row>
    <row r="895" ht="14.25" customHeight="1">
      <c r="C895" s="9"/>
      <c r="D895" s="9"/>
      <c r="E895" s="9"/>
      <c r="F895" s="9"/>
      <c r="G895" s="9"/>
      <c r="H895" s="16"/>
      <c r="I895" s="9"/>
      <c r="K895" s="3"/>
      <c r="U895" s="3"/>
      <c r="AE895" s="3"/>
      <c r="AO895" s="3"/>
    </row>
    <row r="896" ht="14.25" customHeight="1">
      <c r="C896" s="9"/>
      <c r="D896" s="9"/>
      <c r="E896" s="9"/>
      <c r="F896" s="9"/>
      <c r="G896" s="9"/>
      <c r="H896" s="16"/>
      <c r="I896" s="9"/>
      <c r="K896" s="3"/>
      <c r="U896" s="3"/>
      <c r="AE896" s="3"/>
      <c r="AO896" s="3"/>
    </row>
    <row r="897" ht="14.25" customHeight="1">
      <c r="C897" s="9"/>
      <c r="D897" s="9"/>
      <c r="E897" s="9"/>
      <c r="F897" s="9"/>
      <c r="G897" s="9"/>
      <c r="H897" s="16"/>
      <c r="I897" s="9"/>
      <c r="K897" s="3"/>
      <c r="U897" s="3"/>
      <c r="AE897" s="3"/>
      <c r="AO897" s="3"/>
    </row>
    <row r="898" ht="14.25" customHeight="1">
      <c r="C898" s="9"/>
      <c r="D898" s="9"/>
      <c r="E898" s="9"/>
      <c r="F898" s="9"/>
      <c r="G898" s="9"/>
      <c r="H898" s="16"/>
      <c r="I898" s="9"/>
      <c r="K898" s="3"/>
      <c r="U898" s="3"/>
      <c r="AE898" s="3"/>
      <c r="AO898" s="3"/>
    </row>
    <row r="899" ht="14.25" customHeight="1">
      <c r="C899" s="9"/>
      <c r="D899" s="9"/>
      <c r="E899" s="9"/>
      <c r="F899" s="9"/>
      <c r="G899" s="9"/>
      <c r="H899" s="16"/>
      <c r="I899" s="9"/>
      <c r="K899" s="3"/>
      <c r="U899" s="3"/>
      <c r="AE899" s="3"/>
      <c r="AO899" s="3"/>
    </row>
    <row r="900" ht="14.25" customHeight="1">
      <c r="C900" s="9"/>
      <c r="D900" s="9"/>
      <c r="E900" s="9"/>
      <c r="F900" s="9"/>
      <c r="G900" s="9"/>
      <c r="H900" s="16"/>
      <c r="I900" s="9"/>
      <c r="K900" s="3"/>
      <c r="U900" s="3"/>
      <c r="AE900" s="3"/>
      <c r="AO900" s="3"/>
    </row>
    <row r="901" ht="14.25" customHeight="1">
      <c r="C901" s="9"/>
      <c r="D901" s="9"/>
      <c r="E901" s="9"/>
      <c r="F901" s="9"/>
      <c r="G901" s="9"/>
      <c r="H901" s="16"/>
      <c r="I901" s="9"/>
      <c r="K901" s="3"/>
      <c r="U901" s="3"/>
      <c r="AE901" s="3"/>
      <c r="AO901" s="3"/>
    </row>
    <row r="902" ht="14.25" customHeight="1">
      <c r="C902" s="9"/>
      <c r="D902" s="9"/>
      <c r="E902" s="9"/>
      <c r="F902" s="9"/>
      <c r="G902" s="9"/>
      <c r="H902" s="16"/>
      <c r="I902" s="9"/>
      <c r="K902" s="3"/>
      <c r="U902" s="3"/>
      <c r="AE902" s="3"/>
      <c r="AO902" s="3"/>
    </row>
    <row r="903" ht="14.25" customHeight="1">
      <c r="C903" s="9"/>
      <c r="D903" s="9"/>
      <c r="E903" s="9"/>
      <c r="F903" s="9"/>
      <c r="G903" s="9"/>
      <c r="H903" s="16"/>
      <c r="I903" s="9"/>
      <c r="K903" s="3"/>
      <c r="U903" s="3"/>
      <c r="AE903" s="3"/>
      <c r="AO903" s="3"/>
    </row>
    <row r="904" ht="14.25" customHeight="1">
      <c r="C904" s="9"/>
      <c r="D904" s="9"/>
      <c r="E904" s="9"/>
      <c r="F904" s="9"/>
      <c r="G904" s="9"/>
      <c r="H904" s="16"/>
      <c r="I904" s="9"/>
      <c r="K904" s="3"/>
      <c r="U904" s="3"/>
      <c r="AE904" s="3"/>
      <c r="AO904" s="3"/>
    </row>
    <row r="905" ht="14.25" customHeight="1">
      <c r="C905" s="9"/>
      <c r="D905" s="9"/>
      <c r="E905" s="9"/>
      <c r="F905" s="9"/>
      <c r="G905" s="9"/>
      <c r="H905" s="16"/>
      <c r="I905" s="9"/>
      <c r="K905" s="3"/>
      <c r="U905" s="3"/>
      <c r="AE905" s="3"/>
      <c r="AO905" s="3"/>
    </row>
    <row r="906" ht="14.25" customHeight="1">
      <c r="C906" s="9"/>
      <c r="D906" s="9"/>
      <c r="E906" s="9"/>
      <c r="F906" s="9"/>
      <c r="G906" s="9"/>
      <c r="H906" s="16"/>
      <c r="I906" s="9"/>
      <c r="K906" s="3"/>
      <c r="U906" s="3"/>
      <c r="AE906" s="3"/>
      <c r="AO906" s="3"/>
    </row>
    <row r="907" ht="14.25" customHeight="1">
      <c r="C907" s="9"/>
      <c r="D907" s="9"/>
      <c r="E907" s="9"/>
      <c r="F907" s="9"/>
      <c r="G907" s="9"/>
      <c r="H907" s="16"/>
      <c r="I907" s="9"/>
      <c r="K907" s="3"/>
      <c r="U907" s="3"/>
      <c r="AE907" s="3"/>
      <c r="AO907" s="3"/>
    </row>
    <row r="908" ht="14.25" customHeight="1">
      <c r="C908" s="9"/>
      <c r="D908" s="9"/>
      <c r="E908" s="9"/>
      <c r="F908" s="9"/>
      <c r="G908" s="9"/>
      <c r="H908" s="16"/>
      <c r="I908" s="9"/>
      <c r="K908" s="3"/>
      <c r="U908" s="3"/>
      <c r="AE908" s="3"/>
      <c r="AO908" s="3"/>
    </row>
    <row r="909" ht="14.25" customHeight="1">
      <c r="C909" s="9"/>
      <c r="D909" s="9"/>
      <c r="E909" s="9"/>
      <c r="F909" s="9"/>
      <c r="G909" s="9"/>
      <c r="H909" s="16"/>
      <c r="I909" s="9"/>
      <c r="K909" s="3"/>
      <c r="U909" s="3"/>
      <c r="AE909" s="3"/>
      <c r="AO909" s="3"/>
    </row>
    <row r="910" ht="14.25" customHeight="1">
      <c r="C910" s="9"/>
      <c r="D910" s="9"/>
      <c r="E910" s="9"/>
      <c r="F910" s="9"/>
      <c r="G910" s="9"/>
      <c r="H910" s="16"/>
      <c r="I910" s="9"/>
      <c r="K910" s="3"/>
      <c r="U910" s="3"/>
      <c r="AE910" s="3"/>
      <c r="AO910" s="3"/>
    </row>
    <row r="911" ht="14.25" customHeight="1">
      <c r="C911" s="9"/>
      <c r="D911" s="9"/>
      <c r="E911" s="9"/>
      <c r="F911" s="9"/>
      <c r="G911" s="9"/>
      <c r="H911" s="16"/>
      <c r="I911" s="9"/>
      <c r="K911" s="3"/>
      <c r="U911" s="3"/>
      <c r="AE911" s="3"/>
      <c r="AO911" s="3"/>
    </row>
    <row r="912" ht="14.25" customHeight="1">
      <c r="C912" s="9"/>
      <c r="D912" s="9"/>
      <c r="E912" s="9"/>
      <c r="F912" s="9"/>
      <c r="G912" s="9"/>
      <c r="H912" s="16"/>
      <c r="I912" s="9"/>
      <c r="K912" s="3"/>
      <c r="U912" s="3"/>
      <c r="AE912" s="3"/>
      <c r="AO912" s="3"/>
    </row>
    <row r="913" ht="14.25" customHeight="1">
      <c r="C913" s="9"/>
      <c r="D913" s="9"/>
      <c r="E913" s="9"/>
      <c r="F913" s="9"/>
      <c r="G913" s="9"/>
      <c r="H913" s="16"/>
      <c r="I913" s="9"/>
      <c r="K913" s="3"/>
      <c r="U913" s="3"/>
      <c r="AE913" s="3"/>
      <c r="AO913" s="3"/>
    </row>
    <row r="914" ht="14.25" customHeight="1">
      <c r="C914" s="9"/>
      <c r="D914" s="9"/>
      <c r="E914" s="9"/>
      <c r="F914" s="9"/>
      <c r="G914" s="9"/>
      <c r="H914" s="16"/>
      <c r="I914" s="9"/>
      <c r="K914" s="3"/>
      <c r="U914" s="3"/>
      <c r="AE914" s="3"/>
      <c r="AO914" s="3"/>
    </row>
    <row r="915" ht="14.25" customHeight="1">
      <c r="C915" s="9"/>
      <c r="D915" s="9"/>
      <c r="E915" s="9"/>
      <c r="F915" s="9"/>
      <c r="G915" s="9"/>
      <c r="H915" s="16"/>
      <c r="I915" s="9"/>
      <c r="K915" s="3"/>
      <c r="U915" s="3"/>
      <c r="AE915" s="3"/>
      <c r="AO915" s="3"/>
    </row>
    <row r="916" ht="14.25" customHeight="1">
      <c r="C916" s="9"/>
      <c r="D916" s="9"/>
      <c r="E916" s="9"/>
      <c r="F916" s="9"/>
      <c r="G916" s="9"/>
      <c r="H916" s="16"/>
      <c r="I916" s="9"/>
      <c r="K916" s="3"/>
      <c r="U916" s="3"/>
      <c r="AE916" s="3"/>
      <c r="AO916" s="3"/>
    </row>
    <row r="917" ht="14.25" customHeight="1">
      <c r="C917" s="9"/>
      <c r="D917" s="9"/>
      <c r="E917" s="9"/>
      <c r="F917" s="9"/>
      <c r="G917" s="9"/>
      <c r="H917" s="16"/>
      <c r="I917" s="9"/>
      <c r="K917" s="3"/>
      <c r="U917" s="3"/>
      <c r="AE917" s="3"/>
      <c r="AO917" s="3"/>
    </row>
    <row r="918" ht="14.25" customHeight="1">
      <c r="C918" s="9"/>
      <c r="D918" s="9"/>
      <c r="E918" s="9"/>
      <c r="F918" s="9"/>
      <c r="G918" s="9"/>
      <c r="H918" s="16"/>
      <c r="I918" s="9"/>
      <c r="K918" s="3"/>
      <c r="U918" s="3"/>
      <c r="AE918" s="3"/>
      <c r="AO918" s="3"/>
    </row>
    <row r="919" ht="14.25" customHeight="1">
      <c r="C919" s="9"/>
      <c r="D919" s="9"/>
      <c r="E919" s="9"/>
      <c r="F919" s="9"/>
      <c r="G919" s="9"/>
      <c r="H919" s="16"/>
      <c r="I919" s="9"/>
      <c r="K919" s="3"/>
      <c r="U919" s="3"/>
      <c r="AE919" s="3"/>
      <c r="AO919" s="3"/>
    </row>
    <row r="920" ht="14.25" customHeight="1">
      <c r="C920" s="9"/>
      <c r="D920" s="9"/>
      <c r="E920" s="9"/>
      <c r="F920" s="9"/>
      <c r="G920" s="9"/>
      <c r="H920" s="16"/>
      <c r="I920" s="9"/>
      <c r="K920" s="3"/>
      <c r="U920" s="3"/>
      <c r="AE920" s="3"/>
      <c r="AO920" s="3"/>
    </row>
    <row r="921" ht="14.25" customHeight="1">
      <c r="C921" s="9"/>
      <c r="D921" s="9"/>
      <c r="E921" s="9"/>
      <c r="F921" s="9"/>
      <c r="G921" s="9"/>
      <c r="H921" s="16"/>
      <c r="I921" s="9"/>
      <c r="K921" s="3"/>
      <c r="U921" s="3"/>
      <c r="AE921" s="3"/>
      <c r="AO921" s="3"/>
    </row>
    <row r="922" ht="14.25" customHeight="1">
      <c r="C922" s="9"/>
      <c r="D922" s="9"/>
      <c r="E922" s="9"/>
      <c r="F922" s="9"/>
      <c r="G922" s="9"/>
      <c r="H922" s="16"/>
      <c r="I922" s="9"/>
      <c r="K922" s="3"/>
      <c r="U922" s="3"/>
      <c r="AE922" s="3"/>
      <c r="AO922" s="3"/>
    </row>
    <row r="923" ht="14.25" customHeight="1">
      <c r="C923" s="9"/>
      <c r="D923" s="9"/>
      <c r="E923" s="9"/>
      <c r="F923" s="9"/>
      <c r="G923" s="9"/>
      <c r="H923" s="16"/>
      <c r="I923" s="9"/>
      <c r="K923" s="3"/>
      <c r="U923" s="3"/>
      <c r="AE923" s="3"/>
      <c r="AO923" s="3"/>
    </row>
    <row r="924" ht="14.25" customHeight="1">
      <c r="C924" s="9"/>
      <c r="D924" s="9"/>
      <c r="E924" s="9"/>
      <c r="F924" s="9"/>
      <c r="G924" s="9"/>
      <c r="H924" s="16"/>
      <c r="I924" s="9"/>
      <c r="K924" s="3"/>
      <c r="U924" s="3"/>
      <c r="AE924" s="3"/>
      <c r="AO924" s="3"/>
    </row>
    <row r="925" ht="14.25" customHeight="1">
      <c r="C925" s="9"/>
      <c r="D925" s="9"/>
      <c r="E925" s="9"/>
      <c r="F925" s="9"/>
      <c r="G925" s="9"/>
      <c r="H925" s="16"/>
      <c r="I925" s="9"/>
      <c r="K925" s="3"/>
      <c r="U925" s="3"/>
      <c r="AE925" s="3"/>
      <c r="AO925" s="3"/>
    </row>
    <row r="926" ht="14.25" customHeight="1">
      <c r="C926" s="9"/>
      <c r="D926" s="9"/>
      <c r="E926" s="9"/>
      <c r="F926" s="9"/>
      <c r="G926" s="9"/>
      <c r="H926" s="16"/>
      <c r="I926" s="9"/>
      <c r="K926" s="3"/>
      <c r="U926" s="3"/>
      <c r="AE926" s="3"/>
      <c r="AO926" s="3"/>
    </row>
    <row r="927" ht="14.25" customHeight="1">
      <c r="C927" s="9"/>
      <c r="D927" s="9"/>
      <c r="E927" s="9"/>
      <c r="F927" s="9"/>
      <c r="G927" s="9"/>
      <c r="H927" s="16"/>
      <c r="I927" s="9"/>
      <c r="K927" s="3"/>
      <c r="U927" s="3"/>
      <c r="AE927" s="3"/>
      <c r="AO927" s="3"/>
    </row>
    <row r="928" ht="14.25" customHeight="1">
      <c r="C928" s="9"/>
      <c r="D928" s="9"/>
      <c r="E928" s="9"/>
      <c r="F928" s="9"/>
      <c r="G928" s="9"/>
      <c r="H928" s="16"/>
      <c r="I928" s="9"/>
      <c r="K928" s="3"/>
      <c r="U928" s="3"/>
      <c r="AE928" s="3"/>
      <c r="AO928" s="3"/>
    </row>
    <row r="929" ht="14.25" customHeight="1">
      <c r="C929" s="9"/>
      <c r="D929" s="9"/>
      <c r="E929" s="9"/>
      <c r="F929" s="9"/>
      <c r="G929" s="9"/>
      <c r="H929" s="16"/>
      <c r="I929" s="9"/>
      <c r="K929" s="3"/>
      <c r="U929" s="3"/>
      <c r="AE929" s="3"/>
      <c r="AO929" s="3"/>
    </row>
    <row r="930" ht="14.25" customHeight="1">
      <c r="C930" s="9"/>
      <c r="D930" s="9"/>
      <c r="E930" s="9"/>
      <c r="F930" s="9"/>
      <c r="G930" s="9"/>
      <c r="H930" s="16"/>
      <c r="I930" s="9"/>
      <c r="K930" s="3"/>
      <c r="U930" s="3"/>
      <c r="AE930" s="3"/>
      <c r="AO930" s="3"/>
    </row>
    <row r="931" ht="14.25" customHeight="1">
      <c r="C931" s="9"/>
      <c r="D931" s="9"/>
      <c r="E931" s="9"/>
      <c r="F931" s="9"/>
      <c r="G931" s="9"/>
      <c r="H931" s="16"/>
      <c r="I931" s="9"/>
      <c r="K931" s="3"/>
      <c r="U931" s="3"/>
      <c r="AE931" s="3"/>
      <c r="AO931" s="3"/>
    </row>
    <row r="932" ht="14.25" customHeight="1">
      <c r="C932" s="9"/>
      <c r="D932" s="9"/>
      <c r="E932" s="9"/>
      <c r="F932" s="9"/>
      <c r="G932" s="9"/>
      <c r="H932" s="16"/>
      <c r="I932" s="9"/>
      <c r="K932" s="3"/>
      <c r="U932" s="3"/>
      <c r="AE932" s="3"/>
      <c r="AO932" s="3"/>
    </row>
    <row r="933" ht="14.25" customHeight="1">
      <c r="C933" s="9"/>
      <c r="D933" s="9"/>
      <c r="E933" s="9"/>
      <c r="F933" s="9"/>
      <c r="G933" s="9"/>
      <c r="H933" s="16"/>
      <c r="I933" s="9"/>
      <c r="K933" s="3"/>
      <c r="U933" s="3"/>
      <c r="AE933" s="3"/>
      <c r="AO933" s="3"/>
    </row>
    <row r="934" ht="14.25" customHeight="1">
      <c r="C934" s="9"/>
      <c r="D934" s="9"/>
      <c r="E934" s="9"/>
      <c r="F934" s="9"/>
      <c r="G934" s="9"/>
      <c r="H934" s="16"/>
      <c r="I934" s="9"/>
      <c r="K934" s="3"/>
      <c r="U934" s="3"/>
      <c r="AE934" s="3"/>
      <c r="AO934" s="3"/>
    </row>
    <row r="935" ht="14.25" customHeight="1">
      <c r="C935" s="9"/>
      <c r="D935" s="9"/>
      <c r="E935" s="9"/>
      <c r="F935" s="9"/>
      <c r="G935" s="9"/>
      <c r="H935" s="16"/>
      <c r="I935" s="9"/>
      <c r="K935" s="3"/>
      <c r="U935" s="3"/>
      <c r="AE935" s="3"/>
      <c r="AO935" s="3"/>
    </row>
    <row r="936" ht="14.25" customHeight="1">
      <c r="C936" s="9"/>
      <c r="D936" s="9"/>
      <c r="E936" s="9"/>
      <c r="F936" s="9"/>
      <c r="G936" s="9"/>
      <c r="H936" s="16"/>
      <c r="I936" s="9"/>
      <c r="K936" s="3"/>
      <c r="U936" s="3"/>
      <c r="AE936" s="3"/>
      <c r="AO936" s="3"/>
    </row>
    <row r="937" ht="14.25" customHeight="1">
      <c r="C937" s="9"/>
      <c r="D937" s="9"/>
      <c r="E937" s="9"/>
      <c r="F937" s="9"/>
      <c r="G937" s="9"/>
      <c r="H937" s="16"/>
      <c r="I937" s="9"/>
      <c r="K937" s="3"/>
      <c r="U937" s="3"/>
      <c r="AE937" s="3"/>
      <c r="AO937" s="3"/>
    </row>
    <row r="938" ht="14.25" customHeight="1">
      <c r="C938" s="9"/>
      <c r="D938" s="9"/>
      <c r="E938" s="9"/>
      <c r="F938" s="9"/>
      <c r="G938" s="9"/>
      <c r="H938" s="16"/>
      <c r="I938" s="9"/>
      <c r="K938" s="3"/>
      <c r="U938" s="3"/>
      <c r="AE938" s="3"/>
      <c r="AO938" s="3"/>
    </row>
    <row r="939" ht="14.25" customHeight="1">
      <c r="C939" s="9"/>
      <c r="D939" s="9"/>
      <c r="E939" s="9"/>
      <c r="F939" s="9"/>
      <c r="G939" s="9"/>
      <c r="H939" s="16"/>
      <c r="I939" s="9"/>
      <c r="K939" s="3"/>
      <c r="U939" s="3"/>
      <c r="AE939" s="3"/>
      <c r="AO939" s="3"/>
    </row>
    <row r="940" ht="14.25" customHeight="1">
      <c r="C940" s="9"/>
      <c r="D940" s="9"/>
      <c r="E940" s="9"/>
      <c r="F940" s="9"/>
      <c r="G940" s="9"/>
      <c r="H940" s="16"/>
      <c r="I940" s="9"/>
      <c r="K940" s="3"/>
      <c r="U940" s="3"/>
      <c r="AE940" s="3"/>
      <c r="AO940" s="3"/>
    </row>
    <row r="941" ht="14.25" customHeight="1">
      <c r="C941" s="9"/>
      <c r="D941" s="9"/>
      <c r="E941" s="9"/>
      <c r="F941" s="9"/>
      <c r="G941" s="9"/>
      <c r="H941" s="16"/>
      <c r="I941" s="9"/>
      <c r="K941" s="3"/>
      <c r="U941" s="3"/>
      <c r="AE941" s="3"/>
      <c r="AO941" s="3"/>
    </row>
    <row r="942" ht="14.25" customHeight="1">
      <c r="C942" s="9"/>
      <c r="D942" s="9"/>
      <c r="E942" s="9"/>
      <c r="F942" s="9"/>
      <c r="G942" s="9"/>
      <c r="H942" s="16"/>
      <c r="I942" s="9"/>
      <c r="K942" s="3"/>
      <c r="U942" s="3"/>
      <c r="AE942" s="3"/>
      <c r="AO942" s="3"/>
    </row>
    <row r="943" ht="14.25" customHeight="1">
      <c r="C943" s="9"/>
      <c r="D943" s="9"/>
      <c r="E943" s="9"/>
      <c r="F943" s="9"/>
      <c r="G943" s="9"/>
      <c r="H943" s="16"/>
      <c r="I943" s="9"/>
      <c r="K943" s="3"/>
      <c r="U943" s="3"/>
      <c r="AE943" s="3"/>
      <c r="AO943" s="3"/>
    </row>
    <row r="944" ht="14.25" customHeight="1">
      <c r="C944" s="9"/>
      <c r="D944" s="9"/>
      <c r="E944" s="9"/>
      <c r="F944" s="9"/>
      <c r="G944" s="9"/>
      <c r="H944" s="16"/>
      <c r="I944" s="9"/>
      <c r="K944" s="3"/>
      <c r="U944" s="3"/>
      <c r="AE944" s="3"/>
      <c r="AO944" s="3"/>
    </row>
    <row r="945" ht="14.25" customHeight="1">
      <c r="C945" s="9"/>
      <c r="D945" s="9"/>
      <c r="E945" s="9"/>
      <c r="F945" s="9"/>
      <c r="G945" s="9"/>
      <c r="H945" s="16"/>
      <c r="I945" s="9"/>
      <c r="K945" s="3"/>
      <c r="U945" s="3"/>
      <c r="AE945" s="3"/>
      <c r="AO945" s="3"/>
    </row>
    <row r="946" ht="14.25" customHeight="1">
      <c r="C946" s="9"/>
      <c r="D946" s="9"/>
      <c r="E946" s="9"/>
      <c r="F946" s="9"/>
      <c r="G946" s="9"/>
      <c r="H946" s="16"/>
      <c r="I946" s="9"/>
      <c r="K946" s="3"/>
      <c r="U946" s="3"/>
      <c r="AE946" s="3"/>
      <c r="AO946" s="3"/>
    </row>
    <row r="947" ht="14.25" customHeight="1">
      <c r="C947" s="9"/>
      <c r="D947" s="9"/>
      <c r="E947" s="9"/>
      <c r="F947" s="9"/>
      <c r="G947" s="9"/>
      <c r="H947" s="16"/>
      <c r="I947" s="9"/>
      <c r="K947" s="3"/>
      <c r="U947" s="3"/>
      <c r="AE947" s="3"/>
      <c r="AO947" s="3"/>
    </row>
    <row r="948" ht="14.25" customHeight="1">
      <c r="C948" s="9"/>
      <c r="D948" s="9"/>
      <c r="E948" s="9"/>
      <c r="F948" s="9"/>
      <c r="G948" s="9"/>
      <c r="H948" s="16"/>
      <c r="I948" s="9"/>
      <c r="K948" s="3"/>
      <c r="U948" s="3"/>
      <c r="AE948" s="3"/>
      <c r="AO948" s="3"/>
    </row>
    <row r="949" ht="14.25" customHeight="1">
      <c r="C949" s="9"/>
      <c r="D949" s="9"/>
      <c r="E949" s="9"/>
      <c r="F949" s="9"/>
      <c r="G949" s="9"/>
      <c r="H949" s="16"/>
      <c r="I949" s="9"/>
      <c r="K949" s="3"/>
      <c r="U949" s="3"/>
      <c r="AE949" s="3"/>
      <c r="AO949" s="3"/>
    </row>
    <row r="950" ht="14.25" customHeight="1">
      <c r="C950" s="9"/>
      <c r="D950" s="9"/>
      <c r="E950" s="9"/>
      <c r="F950" s="9"/>
      <c r="G950" s="9"/>
      <c r="H950" s="16"/>
      <c r="I950" s="9"/>
      <c r="K950" s="3"/>
      <c r="U950" s="3"/>
      <c r="AE950" s="3"/>
      <c r="AO950" s="3"/>
    </row>
    <row r="951" ht="14.25" customHeight="1">
      <c r="C951" s="9"/>
      <c r="D951" s="9"/>
      <c r="E951" s="9"/>
      <c r="F951" s="9"/>
      <c r="G951" s="9"/>
      <c r="H951" s="16"/>
      <c r="I951" s="9"/>
      <c r="K951" s="3"/>
      <c r="U951" s="3"/>
      <c r="AE951" s="3"/>
      <c r="AO951" s="3"/>
    </row>
    <row r="952" ht="14.25" customHeight="1">
      <c r="C952" s="9"/>
      <c r="D952" s="9"/>
      <c r="E952" s="9"/>
      <c r="F952" s="9"/>
      <c r="G952" s="9"/>
      <c r="H952" s="16"/>
      <c r="I952" s="9"/>
      <c r="K952" s="3"/>
      <c r="U952" s="3"/>
      <c r="AE952" s="3"/>
      <c r="AO952" s="3"/>
    </row>
    <row r="953" ht="14.25" customHeight="1">
      <c r="C953" s="9"/>
      <c r="D953" s="9"/>
      <c r="E953" s="9"/>
      <c r="F953" s="9"/>
      <c r="G953" s="9"/>
      <c r="H953" s="16"/>
      <c r="I953" s="9"/>
      <c r="K953" s="3"/>
      <c r="U953" s="3"/>
      <c r="AE953" s="3"/>
      <c r="AO953" s="3"/>
    </row>
    <row r="954" ht="14.25" customHeight="1">
      <c r="C954" s="9"/>
      <c r="D954" s="9"/>
      <c r="E954" s="9"/>
      <c r="F954" s="9"/>
      <c r="G954" s="9"/>
      <c r="H954" s="16"/>
      <c r="I954" s="9"/>
      <c r="K954" s="3"/>
      <c r="U954" s="3"/>
      <c r="AE954" s="3"/>
      <c r="AO954" s="3"/>
    </row>
    <row r="955" ht="14.25" customHeight="1">
      <c r="C955" s="9"/>
      <c r="D955" s="9"/>
      <c r="E955" s="9"/>
      <c r="F955" s="9"/>
      <c r="G955" s="9"/>
      <c r="H955" s="16"/>
      <c r="I955" s="9"/>
      <c r="K955" s="3"/>
      <c r="U955" s="3"/>
      <c r="AE955" s="3"/>
      <c r="AO955" s="3"/>
    </row>
    <row r="956" ht="14.25" customHeight="1">
      <c r="C956" s="9"/>
      <c r="D956" s="9"/>
      <c r="E956" s="9"/>
      <c r="F956" s="9"/>
      <c r="G956" s="9"/>
      <c r="H956" s="16"/>
      <c r="I956" s="9"/>
      <c r="K956" s="3"/>
      <c r="U956" s="3"/>
      <c r="AE956" s="3"/>
      <c r="AO956" s="3"/>
    </row>
    <row r="957" ht="14.25" customHeight="1">
      <c r="C957" s="9"/>
      <c r="D957" s="9"/>
      <c r="E957" s="9"/>
      <c r="F957" s="9"/>
      <c r="G957" s="9"/>
      <c r="H957" s="16"/>
      <c r="I957" s="9"/>
      <c r="K957" s="3"/>
      <c r="U957" s="3"/>
      <c r="AE957" s="3"/>
      <c r="AO957" s="3"/>
    </row>
    <row r="958" ht="14.25" customHeight="1">
      <c r="C958" s="9"/>
      <c r="D958" s="9"/>
      <c r="E958" s="9"/>
      <c r="F958" s="9"/>
      <c r="G958" s="9"/>
      <c r="H958" s="16"/>
      <c r="I958" s="9"/>
      <c r="K958" s="3"/>
      <c r="U958" s="3"/>
      <c r="AE958" s="3"/>
      <c r="AO958" s="3"/>
    </row>
    <row r="959" ht="14.25" customHeight="1">
      <c r="C959" s="9"/>
      <c r="D959" s="9"/>
      <c r="E959" s="9"/>
      <c r="F959" s="9"/>
      <c r="G959" s="9"/>
      <c r="H959" s="16"/>
      <c r="I959" s="9"/>
      <c r="K959" s="3"/>
      <c r="U959" s="3"/>
      <c r="AE959" s="3"/>
      <c r="AO959" s="3"/>
    </row>
    <row r="960" ht="14.25" customHeight="1">
      <c r="C960" s="9"/>
      <c r="D960" s="9"/>
      <c r="E960" s="9"/>
      <c r="F960" s="9"/>
      <c r="G960" s="9"/>
      <c r="H960" s="16"/>
      <c r="I960" s="9"/>
      <c r="K960" s="3"/>
      <c r="U960" s="3"/>
      <c r="AE960" s="3"/>
      <c r="AO960" s="3"/>
    </row>
    <row r="961" ht="14.25" customHeight="1">
      <c r="C961" s="9"/>
      <c r="D961" s="9"/>
      <c r="E961" s="9"/>
      <c r="F961" s="9"/>
      <c r="G961" s="9"/>
      <c r="H961" s="16"/>
      <c r="I961" s="9"/>
      <c r="K961" s="3"/>
      <c r="U961" s="3"/>
      <c r="AE961" s="3"/>
      <c r="AO961" s="3"/>
    </row>
    <row r="962" ht="14.25" customHeight="1">
      <c r="C962" s="9"/>
      <c r="D962" s="9"/>
      <c r="E962" s="9"/>
      <c r="F962" s="9"/>
      <c r="G962" s="9"/>
      <c r="H962" s="16"/>
      <c r="I962" s="9"/>
      <c r="K962" s="3"/>
      <c r="U962" s="3"/>
      <c r="AE962" s="3"/>
      <c r="AO962" s="3"/>
    </row>
    <row r="963" ht="14.25" customHeight="1">
      <c r="C963" s="9"/>
      <c r="D963" s="9"/>
      <c r="E963" s="9"/>
      <c r="F963" s="9"/>
      <c r="G963" s="9"/>
      <c r="H963" s="16"/>
      <c r="I963" s="9"/>
      <c r="K963" s="3"/>
      <c r="U963" s="3"/>
      <c r="AE963" s="3"/>
      <c r="AO963" s="3"/>
    </row>
    <row r="964" ht="14.25" customHeight="1">
      <c r="C964" s="9"/>
      <c r="D964" s="9"/>
      <c r="E964" s="9"/>
      <c r="F964" s="9"/>
      <c r="G964" s="9"/>
      <c r="H964" s="16"/>
      <c r="I964" s="9"/>
      <c r="K964" s="3"/>
      <c r="U964" s="3"/>
      <c r="AE964" s="3"/>
      <c r="AO964" s="3"/>
    </row>
    <row r="965" ht="14.25" customHeight="1">
      <c r="C965" s="9"/>
      <c r="D965" s="9"/>
      <c r="E965" s="9"/>
      <c r="F965" s="9"/>
      <c r="G965" s="9"/>
      <c r="H965" s="16"/>
      <c r="I965" s="9"/>
      <c r="K965" s="3"/>
      <c r="U965" s="3"/>
      <c r="AE965" s="3"/>
      <c r="AO965" s="3"/>
    </row>
    <row r="966" ht="14.25" customHeight="1">
      <c r="C966" s="9"/>
      <c r="D966" s="9"/>
      <c r="E966" s="9"/>
      <c r="F966" s="9"/>
      <c r="G966" s="9"/>
      <c r="H966" s="16"/>
      <c r="I966" s="9"/>
      <c r="K966" s="3"/>
      <c r="U966" s="3"/>
      <c r="AE966" s="3"/>
      <c r="AO966" s="3"/>
    </row>
    <row r="967" ht="14.25" customHeight="1">
      <c r="C967" s="9"/>
      <c r="D967" s="9"/>
      <c r="E967" s="9"/>
      <c r="F967" s="9"/>
      <c r="G967" s="9"/>
      <c r="H967" s="16"/>
      <c r="I967" s="9"/>
      <c r="K967" s="3"/>
      <c r="U967" s="3"/>
      <c r="AE967" s="3"/>
      <c r="AO967" s="3"/>
    </row>
    <row r="968" ht="14.25" customHeight="1">
      <c r="C968" s="9"/>
      <c r="D968" s="9"/>
      <c r="E968" s="9"/>
      <c r="F968" s="9"/>
      <c r="G968" s="9"/>
      <c r="H968" s="16"/>
      <c r="I968" s="9"/>
      <c r="K968" s="3"/>
      <c r="U968" s="3"/>
      <c r="AE968" s="3"/>
      <c r="AO968" s="3"/>
    </row>
    <row r="969" ht="14.25" customHeight="1">
      <c r="C969" s="9"/>
      <c r="D969" s="9"/>
      <c r="E969" s="9"/>
      <c r="F969" s="9"/>
      <c r="G969" s="9"/>
      <c r="H969" s="16"/>
      <c r="I969" s="9"/>
      <c r="K969" s="3"/>
      <c r="U969" s="3"/>
      <c r="AE969" s="3"/>
      <c r="AO969" s="3"/>
    </row>
    <row r="970" ht="14.25" customHeight="1">
      <c r="C970" s="9"/>
      <c r="D970" s="9"/>
      <c r="E970" s="9"/>
      <c r="F970" s="9"/>
      <c r="G970" s="9"/>
      <c r="H970" s="16"/>
      <c r="I970" s="9"/>
      <c r="K970" s="3"/>
      <c r="U970" s="3"/>
      <c r="AE970" s="3"/>
      <c r="AO970" s="3"/>
    </row>
    <row r="971" ht="14.25" customHeight="1">
      <c r="C971" s="9"/>
      <c r="D971" s="9"/>
      <c r="E971" s="9"/>
      <c r="F971" s="9"/>
      <c r="G971" s="9"/>
      <c r="H971" s="16"/>
      <c r="I971" s="9"/>
      <c r="K971" s="3"/>
      <c r="U971" s="3"/>
      <c r="AE971" s="3"/>
      <c r="AO971" s="3"/>
    </row>
    <row r="972" ht="14.25" customHeight="1">
      <c r="C972" s="9"/>
      <c r="D972" s="9"/>
      <c r="E972" s="9"/>
      <c r="F972" s="9"/>
      <c r="G972" s="9"/>
      <c r="H972" s="16"/>
      <c r="I972" s="9"/>
      <c r="K972" s="3"/>
      <c r="U972" s="3"/>
      <c r="AE972" s="3"/>
      <c r="AO972" s="3"/>
    </row>
    <row r="973" ht="14.25" customHeight="1">
      <c r="C973" s="9"/>
      <c r="D973" s="9"/>
      <c r="E973" s="9"/>
      <c r="F973" s="9"/>
      <c r="G973" s="9"/>
      <c r="H973" s="16"/>
      <c r="I973" s="9"/>
      <c r="K973" s="3"/>
      <c r="U973" s="3"/>
      <c r="AE973" s="3"/>
      <c r="AO973" s="3"/>
    </row>
    <row r="974" ht="14.25" customHeight="1">
      <c r="C974" s="9"/>
      <c r="D974" s="9"/>
      <c r="E974" s="9"/>
      <c r="F974" s="9"/>
      <c r="G974" s="9"/>
      <c r="H974" s="16"/>
      <c r="I974" s="9"/>
      <c r="K974" s="3"/>
      <c r="U974" s="3"/>
      <c r="AE974" s="3"/>
      <c r="AO974" s="3"/>
    </row>
    <row r="975" ht="14.25" customHeight="1">
      <c r="C975" s="9"/>
      <c r="D975" s="9"/>
      <c r="E975" s="9"/>
      <c r="F975" s="9"/>
      <c r="G975" s="9"/>
      <c r="H975" s="16"/>
      <c r="I975" s="9"/>
      <c r="K975" s="3"/>
      <c r="U975" s="3"/>
      <c r="AE975" s="3"/>
      <c r="AO975" s="3"/>
    </row>
    <row r="976" ht="14.25" customHeight="1">
      <c r="C976" s="9"/>
      <c r="D976" s="9"/>
      <c r="E976" s="9"/>
      <c r="F976" s="9"/>
      <c r="G976" s="9"/>
      <c r="H976" s="16"/>
      <c r="I976" s="9"/>
      <c r="K976" s="3"/>
      <c r="U976" s="3"/>
      <c r="AE976" s="3"/>
      <c r="AO976" s="3"/>
    </row>
    <row r="977" ht="14.25" customHeight="1">
      <c r="C977" s="9"/>
      <c r="D977" s="9"/>
      <c r="E977" s="9"/>
      <c r="F977" s="9"/>
      <c r="G977" s="9"/>
      <c r="H977" s="16"/>
      <c r="I977" s="9"/>
      <c r="K977" s="3"/>
      <c r="U977" s="3"/>
      <c r="AE977" s="3"/>
      <c r="AO977" s="3"/>
    </row>
    <row r="978" ht="14.25" customHeight="1">
      <c r="C978" s="9"/>
      <c r="D978" s="9"/>
      <c r="E978" s="9"/>
      <c r="F978" s="9"/>
      <c r="G978" s="9"/>
      <c r="H978" s="16"/>
      <c r="I978" s="9"/>
      <c r="K978" s="3"/>
      <c r="U978" s="3"/>
      <c r="AE978" s="3"/>
      <c r="AO978" s="3"/>
    </row>
    <row r="979" ht="14.25" customHeight="1">
      <c r="C979" s="9"/>
      <c r="D979" s="9"/>
      <c r="E979" s="9"/>
      <c r="F979" s="9"/>
      <c r="G979" s="9"/>
      <c r="H979" s="16"/>
      <c r="I979" s="9"/>
      <c r="K979" s="3"/>
      <c r="U979" s="3"/>
      <c r="AE979" s="3"/>
      <c r="AO979" s="3"/>
    </row>
    <row r="980" ht="14.25" customHeight="1">
      <c r="C980" s="9"/>
      <c r="D980" s="9"/>
      <c r="E980" s="9"/>
      <c r="F980" s="9"/>
      <c r="G980" s="9"/>
      <c r="H980" s="16"/>
      <c r="I980" s="9"/>
      <c r="K980" s="3"/>
      <c r="U980" s="3"/>
      <c r="AE980" s="3"/>
      <c r="AO980" s="3"/>
    </row>
    <row r="981" ht="14.25" customHeight="1">
      <c r="C981" s="9"/>
      <c r="D981" s="9"/>
      <c r="E981" s="9"/>
      <c r="F981" s="9"/>
      <c r="G981" s="9"/>
      <c r="H981" s="16"/>
      <c r="I981" s="9"/>
      <c r="K981" s="3"/>
      <c r="U981" s="3"/>
      <c r="AE981" s="3"/>
      <c r="AO981" s="3"/>
    </row>
    <row r="982" ht="14.25" customHeight="1">
      <c r="C982" s="9"/>
      <c r="D982" s="9"/>
      <c r="E982" s="9"/>
      <c r="F982" s="9"/>
      <c r="G982" s="9"/>
      <c r="H982" s="16"/>
      <c r="I982" s="9"/>
      <c r="K982" s="3"/>
      <c r="U982" s="3"/>
      <c r="AE982" s="3"/>
      <c r="AO982" s="3"/>
    </row>
    <row r="983" ht="14.25" customHeight="1">
      <c r="C983" s="9"/>
      <c r="D983" s="9"/>
      <c r="E983" s="9"/>
      <c r="F983" s="9"/>
      <c r="G983" s="9"/>
      <c r="H983" s="16"/>
      <c r="I983" s="9"/>
      <c r="K983" s="3"/>
      <c r="U983" s="3"/>
      <c r="AE983" s="3"/>
      <c r="AO983" s="3"/>
    </row>
    <row r="984" ht="14.25" customHeight="1">
      <c r="C984" s="9"/>
      <c r="D984" s="9"/>
      <c r="E984" s="9"/>
      <c r="F984" s="9"/>
      <c r="G984" s="9"/>
      <c r="H984" s="16"/>
      <c r="I984" s="9"/>
      <c r="K984" s="3"/>
      <c r="U984" s="3"/>
      <c r="AE984" s="3"/>
      <c r="AO984" s="3"/>
    </row>
    <row r="985" ht="14.25" customHeight="1">
      <c r="C985" s="9"/>
      <c r="D985" s="9"/>
      <c r="E985" s="9"/>
      <c r="F985" s="9"/>
      <c r="G985" s="9"/>
      <c r="H985" s="16"/>
      <c r="I985" s="9"/>
      <c r="K985" s="3"/>
      <c r="U985" s="3"/>
      <c r="AE985" s="3"/>
      <c r="AO985" s="3"/>
    </row>
    <row r="986" ht="14.25" customHeight="1">
      <c r="C986" s="9"/>
      <c r="D986" s="9"/>
      <c r="E986" s="9"/>
      <c r="F986" s="9"/>
      <c r="G986" s="9"/>
      <c r="H986" s="16"/>
      <c r="I986" s="9"/>
      <c r="K986" s="3"/>
      <c r="U986" s="3"/>
      <c r="AE986" s="3"/>
      <c r="AO986" s="3"/>
    </row>
    <row r="987" ht="14.25" customHeight="1">
      <c r="C987" s="9"/>
      <c r="D987" s="9"/>
      <c r="E987" s="9"/>
      <c r="F987" s="9"/>
      <c r="G987" s="9"/>
      <c r="H987" s="16"/>
      <c r="I987" s="9"/>
      <c r="K987" s="3"/>
      <c r="U987" s="3"/>
      <c r="AE987" s="3"/>
      <c r="AO987" s="3"/>
    </row>
    <row r="988" ht="14.25" customHeight="1">
      <c r="C988" s="9"/>
      <c r="D988" s="9"/>
      <c r="E988" s="9"/>
      <c r="F988" s="9"/>
      <c r="G988" s="9"/>
      <c r="H988" s="16"/>
      <c r="I988" s="9"/>
      <c r="K988" s="3"/>
      <c r="U988" s="3"/>
      <c r="AE988" s="3"/>
      <c r="AO988" s="3"/>
    </row>
    <row r="989" ht="14.25" customHeight="1">
      <c r="C989" s="9"/>
      <c r="D989" s="9"/>
      <c r="E989" s="9"/>
      <c r="F989" s="9"/>
      <c r="G989" s="9"/>
      <c r="H989" s="16"/>
      <c r="I989" s="9"/>
      <c r="K989" s="3"/>
      <c r="U989" s="3"/>
      <c r="AE989" s="3"/>
      <c r="AO989" s="3"/>
    </row>
    <row r="990" ht="14.25" customHeight="1">
      <c r="C990" s="9"/>
      <c r="D990" s="9"/>
      <c r="E990" s="9"/>
      <c r="F990" s="9"/>
      <c r="G990" s="9"/>
      <c r="H990" s="16"/>
      <c r="I990" s="9"/>
      <c r="K990" s="3"/>
      <c r="U990" s="3"/>
      <c r="AE990" s="3"/>
      <c r="AO990" s="3"/>
    </row>
    <row r="991" ht="14.25" customHeight="1">
      <c r="C991" s="9"/>
      <c r="D991" s="9"/>
      <c r="E991" s="9"/>
      <c r="F991" s="9"/>
      <c r="G991" s="9"/>
      <c r="H991" s="16"/>
      <c r="I991" s="9"/>
      <c r="K991" s="3"/>
      <c r="U991" s="3"/>
      <c r="AE991" s="3"/>
      <c r="AO991" s="3"/>
    </row>
    <row r="992" ht="14.25" customHeight="1">
      <c r="C992" s="9"/>
      <c r="D992" s="9"/>
      <c r="E992" s="9"/>
      <c r="F992" s="9"/>
      <c r="G992" s="9"/>
      <c r="H992" s="16"/>
      <c r="I992" s="9"/>
      <c r="K992" s="3"/>
      <c r="U992" s="3"/>
      <c r="AE992" s="3"/>
      <c r="AO992" s="3"/>
    </row>
    <row r="993" ht="14.25" customHeight="1">
      <c r="C993" s="9"/>
      <c r="D993" s="9"/>
      <c r="E993" s="9"/>
      <c r="F993" s="9"/>
      <c r="G993" s="9"/>
      <c r="H993" s="16"/>
      <c r="I993" s="9"/>
      <c r="K993" s="3"/>
      <c r="U993" s="3"/>
      <c r="AE993" s="3"/>
      <c r="AO993" s="3"/>
    </row>
    <row r="994" ht="14.25" customHeight="1">
      <c r="C994" s="9"/>
      <c r="D994" s="9"/>
      <c r="E994" s="9"/>
      <c r="F994" s="9"/>
      <c r="G994" s="9"/>
      <c r="H994" s="16"/>
      <c r="I994" s="9"/>
      <c r="K994" s="3"/>
      <c r="U994" s="3"/>
      <c r="AE994" s="3"/>
      <c r="AO994" s="3"/>
    </row>
    <row r="995" ht="14.25" customHeight="1">
      <c r="C995" s="9"/>
      <c r="D995" s="9"/>
      <c r="E995" s="9"/>
      <c r="F995" s="9"/>
      <c r="G995" s="9"/>
      <c r="H995" s="16"/>
      <c r="I995" s="9"/>
      <c r="K995" s="3"/>
      <c r="U995" s="3"/>
      <c r="AE995" s="3"/>
      <c r="AO995" s="3"/>
    </row>
    <row r="996" ht="14.25" customHeight="1">
      <c r="C996" s="9"/>
      <c r="D996" s="9"/>
      <c r="E996" s="9"/>
      <c r="F996" s="9"/>
      <c r="G996" s="9"/>
      <c r="H996" s="16"/>
      <c r="I996" s="9"/>
      <c r="K996" s="3"/>
      <c r="U996" s="3"/>
      <c r="AE996" s="3"/>
      <c r="AO996" s="3"/>
    </row>
    <row r="997" ht="14.25" customHeight="1">
      <c r="C997" s="9"/>
      <c r="D997" s="9"/>
      <c r="E997" s="9"/>
      <c r="F997" s="9"/>
      <c r="G997" s="9"/>
      <c r="H997" s="16"/>
      <c r="I997" s="9"/>
      <c r="K997" s="3"/>
      <c r="U997" s="3"/>
      <c r="AE997" s="3"/>
      <c r="AO997" s="3"/>
    </row>
    <row r="998" ht="14.25" customHeight="1">
      <c r="C998" s="9"/>
      <c r="D998" s="9"/>
      <c r="E998" s="9"/>
      <c r="F998" s="9"/>
      <c r="G998" s="9"/>
      <c r="H998" s="16"/>
      <c r="I998" s="9"/>
      <c r="K998" s="3"/>
      <c r="U998" s="3"/>
      <c r="AE998" s="3"/>
      <c r="AO998" s="3"/>
    </row>
    <row r="999" ht="14.25" customHeight="1">
      <c r="C999" s="9"/>
      <c r="D999" s="9"/>
      <c r="E999" s="9"/>
      <c r="F999" s="9"/>
      <c r="G999" s="9"/>
      <c r="H999" s="16"/>
      <c r="I999" s="9"/>
      <c r="K999" s="3"/>
      <c r="U999" s="3"/>
      <c r="AE999" s="3"/>
      <c r="AO999" s="3"/>
    </row>
    <row r="1000" ht="14.25" customHeight="1">
      <c r="C1000" s="9"/>
      <c r="D1000" s="9"/>
      <c r="E1000" s="9"/>
      <c r="F1000" s="9"/>
      <c r="G1000" s="9"/>
      <c r="H1000" s="16"/>
      <c r="I1000" s="9"/>
      <c r="K1000" s="3"/>
      <c r="U1000" s="3"/>
      <c r="AE1000" s="3"/>
      <c r="AO1000" s="3"/>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8.63"/>
    <col customWidth="1" min="8" max="8" width="11.0"/>
    <col customWidth="1" min="9" max="26" width="8.63"/>
  </cols>
  <sheetData>
    <row r="1" ht="14.25" customHeight="1">
      <c r="A1" s="3" t="s">
        <v>2</v>
      </c>
      <c r="H1" s="3" t="s">
        <v>2</v>
      </c>
    </row>
    <row r="2" ht="14.25" customHeight="1">
      <c r="A2" s="1">
        <v>2018.0</v>
      </c>
      <c r="B2" s="1">
        <f t="shared" ref="B2:F2" si="1">+A2+1</f>
        <v>2019</v>
      </c>
      <c r="C2" s="1">
        <f t="shared" si="1"/>
        <v>2020</v>
      </c>
      <c r="D2" s="1">
        <f t="shared" si="1"/>
        <v>2021</v>
      </c>
      <c r="E2" s="1">
        <f t="shared" si="1"/>
        <v>2022</v>
      </c>
      <c r="F2" s="1">
        <f t="shared" si="1"/>
        <v>2023</v>
      </c>
      <c r="H2" s="1">
        <v>2018.0</v>
      </c>
      <c r="I2" s="1">
        <f t="shared" ref="I2:M2" si="2">+H2+1</f>
        <v>2019</v>
      </c>
      <c r="J2" s="1">
        <f t="shared" si="2"/>
        <v>2020</v>
      </c>
      <c r="K2" s="1">
        <f t="shared" si="2"/>
        <v>2021</v>
      </c>
      <c r="L2" s="1">
        <f t="shared" si="2"/>
        <v>2022</v>
      </c>
      <c r="M2" s="1">
        <f t="shared" si="2"/>
        <v>2023</v>
      </c>
    </row>
    <row r="3" ht="14.25" customHeight="1">
      <c r="A3" s="11">
        <v>2.76E8</v>
      </c>
      <c r="B3" s="12">
        <v>2.69E8</v>
      </c>
      <c r="C3" s="12">
        <v>2.72E8</v>
      </c>
      <c r="D3" s="12">
        <v>2.97E8</v>
      </c>
      <c r="E3" s="12">
        <v>2.83E8</v>
      </c>
      <c r="F3" s="12">
        <v>3.04E8</v>
      </c>
      <c r="H3" s="13">
        <f t="shared" ref="H3:M3" si="3">A3*1000</f>
        <v>276000000000</v>
      </c>
      <c r="I3" s="13">
        <f t="shared" si="3"/>
        <v>269000000000</v>
      </c>
      <c r="J3" s="13">
        <f t="shared" si="3"/>
        <v>272000000000</v>
      </c>
      <c r="K3" s="13">
        <f t="shared" si="3"/>
        <v>297000000000</v>
      </c>
      <c r="L3" s="13">
        <f t="shared" si="3"/>
        <v>283000000000</v>
      </c>
      <c r="M3" s="13">
        <f t="shared" si="3"/>
        <v>304000000000</v>
      </c>
    </row>
    <row r="4" ht="14.25" customHeight="1">
      <c r="A4" s="12">
        <v>2.79E9</v>
      </c>
      <c r="B4" s="12">
        <v>2.73E9</v>
      </c>
      <c r="C4" s="12">
        <v>2.65E9</v>
      </c>
      <c r="D4" s="12">
        <v>2.96E9</v>
      </c>
      <c r="E4" s="12">
        <v>2.78E9</v>
      </c>
      <c r="F4" s="12">
        <v>3.04E9</v>
      </c>
      <c r="H4" s="13">
        <f t="shared" ref="H4:M4" si="4">A4*1000</f>
        <v>2790000000000</v>
      </c>
      <c r="I4" s="13">
        <f t="shared" si="4"/>
        <v>2730000000000</v>
      </c>
      <c r="J4" s="13">
        <f t="shared" si="4"/>
        <v>2650000000000</v>
      </c>
      <c r="K4" s="13">
        <f t="shared" si="4"/>
        <v>2960000000000</v>
      </c>
      <c r="L4" s="13">
        <f t="shared" si="4"/>
        <v>2780000000000</v>
      </c>
      <c r="M4" s="13">
        <f t="shared" si="4"/>
        <v>3040000000000</v>
      </c>
    </row>
    <row r="5" ht="14.25" customHeight="1">
      <c r="A5" s="12">
        <v>3.97E9</v>
      </c>
      <c r="B5" s="12">
        <v>3.89E9</v>
      </c>
      <c r="C5" s="12">
        <v>3.89E9</v>
      </c>
      <c r="D5" s="12">
        <v>4.28E9</v>
      </c>
      <c r="E5" s="12">
        <v>4.08E9</v>
      </c>
      <c r="F5" s="12">
        <v>4.46E9</v>
      </c>
      <c r="H5" s="13">
        <f t="shared" ref="H5:M5" si="5">A5*1000</f>
        <v>3970000000000</v>
      </c>
      <c r="I5" s="13">
        <f t="shared" si="5"/>
        <v>3890000000000</v>
      </c>
      <c r="J5" s="13">
        <f t="shared" si="5"/>
        <v>3890000000000</v>
      </c>
      <c r="K5" s="13">
        <f t="shared" si="5"/>
        <v>4280000000000</v>
      </c>
      <c r="L5" s="13">
        <f t="shared" si="5"/>
        <v>4080000000000</v>
      </c>
      <c r="M5" s="13">
        <f t="shared" si="5"/>
        <v>4460000000000</v>
      </c>
    </row>
    <row r="6" ht="14.25" customHeight="1">
      <c r="A6" s="17">
        <v>2.6260851E7</v>
      </c>
      <c r="B6" s="17">
        <v>2.4681344E7</v>
      </c>
      <c r="C6" s="18">
        <v>2.1565768E7</v>
      </c>
      <c r="D6" s="18">
        <v>2.559594E7</v>
      </c>
      <c r="E6" s="17">
        <v>2.806453E7</v>
      </c>
      <c r="F6" s="17">
        <v>3.0447193E7</v>
      </c>
      <c r="H6" s="1">
        <f t="shared" ref="H6:M6" si="6">A6*1000</f>
        <v>26260851000</v>
      </c>
      <c r="I6" s="1">
        <f t="shared" si="6"/>
        <v>24681344000</v>
      </c>
      <c r="J6" s="1">
        <f t="shared" si="6"/>
        <v>21565768000</v>
      </c>
      <c r="K6" s="1">
        <f t="shared" si="6"/>
        <v>25595940000</v>
      </c>
      <c r="L6" s="1">
        <f t="shared" si="6"/>
        <v>28064530000</v>
      </c>
      <c r="M6" s="1">
        <f t="shared" si="6"/>
        <v>30447193000</v>
      </c>
    </row>
    <row r="7" ht="14.25" customHeight="1">
      <c r="A7" s="12">
        <v>2.09E9</v>
      </c>
      <c r="B7" s="12">
        <v>2.01E9</v>
      </c>
      <c r="C7" s="12">
        <v>1.9E9</v>
      </c>
      <c r="D7" s="12">
        <v>2.16E9</v>
      </c>
      <c r="E7" s="12">
        <v>2.05E9</v>
      </c>
      <c r="F7" s="12">
        <v>2.23E9</v>
      </c>
      <c r="H7" s="13">
        <f t="shared" ref="H7:M7" si="7">A7*1000</f>
        <v>2090000000000</v>
      </c>
      <c r="I7" s="13">
        <f t="shared" si="7"/>
        <v>2010000000000</v>
      </c>
      <c r="J7" s="13">
        <f t="shared" si="7"/>
        <v>1900000000000</v>
      </c>
      <c r="K7" s="13">
        <f t="shared" si="7"/>
        <v>2160000000000</v>
      </c>
      <c r="L7" s="13">
        <f t="shared" si="7"/>
        <v>2050000000000</v>
      </c>
      <c r="M7" s="13">
        <f t="shared" si="7"/>
        <v>2230000000000</v>
      </c>
    </row>
    <row r="8" ht="14.25" customHeight="1">
      <c r="A8" s="12">
        <v>1.42E9</v>
      </c>
      <c r="B8" s="12">
        <v>1.39E9</v>
      </c>
      <c r="C8" s="12">
        <v>1.28E9</v>
      </c>
      <c r="D8" s="12">
        <v>1.45E9</v>
      </c>
      <c r="E8" s="12">
        <v>1.42E9</v>
      </c>
      <c r="F8" s="12">
        <v>1.6E9</v>
      </c>
      <c r="H8" s="13">
        <f t="shared" ref="H8:M8" si="8">A8*1000</f>
        <v>1420000000000</v>
      </c>
      <c r="I8" s="13">
        <f t="shared" si="8"/>
        <v>1390000000000</v>
      </c>
      <c r="J8" s="13">
        <f t="shared" si="8"/>
        <v>1280000000000</v>
      </c>
      <c r="K8" s="13">
        <f t="shared" si="8"/>
        <v>1450000000000</v>
      </c>
      <c r="L8" s="13">
        <f t="shared" si="8"/>
        <v>1420000000000</v>
      </c>
      <c r="M8" s="13">
        <f t="shared" si="8"/>
        <v>1600000000000</v>
      </c>
    </row>
    <row r="9" ht="14.25" customHeight="1">
      <c r="A9" s="12">
        <v>5.55E8</v>
      </c>
      <c r="B9" s="12">
        <v>5.34E8</v>
      </c>
      <c r="C9" s="12">
        <v>5.47E8</v>
      </c>
      <c r="D9" s="12">
        <v>6.4E8</v>
      </c>
      <c r="E9" s="12">
        <v>5.91E8</v>
      </c>
      <c r="F9" s="12">
        <v>5.9E8</v>
      </c>
      <c r="H9" s="13">
        <f t="shared" ref="H9:M9" si="9">A9*1000</f>
        <v>555000000000</v>
      </c>
      <c r="I9" s="13">
        <f t="shared" si="9"/>
        <v>534000000000</v>
      </c>
      <c r="J9" s="13">
        <f t="shared" si="9"/>
        <v>547000000000</v>
      </c>
      <c r="K9" s="13">
        <f t="shared" si="9"/>
        <v>640000000000</v>
      </c>
      <c r="L9" s="13">
        <f t="shared" si="9"/>
        <v>591000000000</v>
      </c>
      <c r="M9" s="13">
        <f t="shared" si="9"/>
        <v>590000000000</v>
      </c>
    </row>
    <row r="10" ht="14.25" customHeight="1">
      <c r="A10" s="12">
        <v>7.26E8</v>
      </c>
      <c r="B10" s="12">
        <v>7.21E8</v>
      </c>
      <c r="C10" s="12">
        <v>7.42E8</v>
      </c>
      <c r="D10" s="12">
        <v>8.13E8</v>
      </c>
      <c r="E10" s="12">
        <v>8.18E8</v>
      </c>
      <c r="F10" s="12">
        <v>8.87E8</v>
      </c>
      <c r="H10" s="13">
        <f t="shared" ref="H10:M10" si="10">A10*1000</f>
        <v>726000000000</v>
      </c>
      <c r="I10" s="13">
        <f t="shared" si="10"/>
        <v>721000000000</v>
      </c>
      <c r="J10" s="13">
        <f t="shared" si="10"/>
        <v>742000000000</v>
      </c>
      <c r="K10" s="13">
        <f t="shared" si="10"/>
        <v>813000000000</v>
      </c>
      <c r="L10" s="13">
        <f t="shared" si="10"/>
        <v>818000000000</v>
      </c>
      <c r="M10" s="13">
        <f t="shared" si="10"/>
        <v>887000000000</v>
      </c>
    </row>
    <row r="11" ht="14.25" customHeight="1">
      <c r="A11" s="12">
        <v>2.87E9</v>
      </c>
      <c r="B11" s="12">
        <v>2.85E9</v>
      </c>
      <c r="C11" s="12">
        <v>2.7E9</v>
      </c>
      <c r="D11" s="12">
        <v>3.14E9</v>
      </c>
      <c r="E11" s="12">
        <v>3.09E9</v>
      </c>
      <c r="F11" s="12">
        <v>3.34E9</v>
      </c>
      <c r="H11" s="13">
        <f t="shared" ref="H11:M11" si="11">A11*1000</f>
        <v>2870000000000</v>
      </c>
      <c r="I11" s="13">
        <f t="shared" si="11"/>
        <v>2850000000000</v>
      </c>
      <c r="J11" s="13">
        <f t="shared" si="11"/>
        <v>2700000000000</v>
      </c>
      <c r="K11" s="13">
        <f t="shared" si="11"/>
        <v>3140000000000</v>
      </c>
      <c r="L11" s="13">
        <f t="shared" si="11"/>
        <v>3090000000000</v>
      </c>
      <c r="M11" s="13">
        <f t="shared" si="11"/>
        <v>3340000000000</v>
      </c>
    </row>
    <row r="12" ht="14.25" customHeight="1">
      <c r="A12" s="12">
        <v>2.07E10</v>
      </c>
      <c r="B12" s="12">
        <v>2.15E10</v>
      </c>
      <c r="C12" s="12">
        <v>2.13E10</v>
      </c>
      <c r="D12" s="12">
        <v>2.36E10</v>
      </c>
      <c r="E12" s="12">
        <v>2.57E10</v>
      </c>
      <c r="F12" s="12">
        <v>2.73E10</v>
      </c>
      <c r="H12" s="13">
        <f t="shared" ref="H12:M12" si="12">A12*1000</f>
        <v>20700000000000</v>
      </c>
      <c r="I12" s="13">
        <f t="shared" si="12"/>
        <v>21500000000000</v>
      </c>
      <c r="J12" s="13">
        <f t="shared" si="12"/>
        <v>21300000000000</v>
      </c>
      <c r="K12" s="13">
        <f t="shared" si="12"/>
        <v>23600000000000</v>
      </c>
      <c r="L12" s="13">
        <f t="shared" si="12"/>
        <v>25700000000000</v>
      </c>
      <c r="M12" s="13">
        <f t="shared" si="12"/>
        <v>27300000000000</v>
      </c>
    </row>
    <row r="13" ht="14.25" customHeight="1">
      <c r="A13" s="12">
        <v>8.66E10</v>
      </c>
      <c r="B13" s="12">
        <v>8.77E10</v>
      </c>
      <c r="C13" s="12">
        <v>8.55E10</v>
      </c>
      <c r="D13" s="12">
        <v>9.73E10</v>
      </c>
      <c r="E13" s="12">
        <v>1.01E11</v>
      </c>
      <c r="F13" s="12">
        <v>1.05E11</v>
      </c>
      <c r="H13" s="13">
        <f t="shared" ref="H13:M13" si="13">A13*1000</f>
        <v>86600000000000</v>
      </c>
      <c r="I13" s="13">
        <f t="shared" si="13"/>
        <v>87700000000000</v>
      </c>
      <c r="J13" s="13">
        <f t="shared" si="13"/>
        <v>85500000000000</v>
      </c>
      <c r="K13" s="13">
        <f t="shared" si="13"/>
        <v>97300000000000</v>
      </c>
      <c r="L13" s="13">
        <f t="shared" si="13"/>
        <v>101000000000000</v>
      </c>
      <c r="M13" s="13">
        <f t="shared" si="13"/>
        <v>105000000000000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